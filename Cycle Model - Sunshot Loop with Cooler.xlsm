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04.17 RMD\FY2022\Projects\27490 SETO Echogen Flowserve Multiphase Turbine\11 Test Loop Design\"/>
    </mc:Choice>
  </mc:AlternateContent>
  <xr:revisionPtr revIDLastSave="0" documentId="13_ncr:1_{A54607BB-A2AA-4158-96EC-37B108588BD4}" xr6:coauthVersionLast="36" xr6:coauthVersionMax="36" xr10:uidLastSave="{00000000-0000-0000-0000-000000000000}"/>
  <bookViews>
    <workbookView xWindow="0" yWindow="0" windowWidth="28800" windowHeight="12225" activeTab="6" xr2:uid="{1017EF06-09FF-49DC-B311-C907577CC9EC}"/>
  </bookViews>
  <sheets>
    <sheet name="Statepoint Summary" sheetId="1" r:id="rId1"/>
    <sheet name="Sunshot pump" sheetId="2" r:id="rId2"/>
    <sheet name="Valve 1" sheetId="3" r:id="rId3"/>
    <sheet name="Valve 2" sheetId="5" r:id="rId4"/>
    <sheet name="Test Section" sheetId="6" r:id="rId5"/>
    <sheet name="Recycle Valve" sheetId="8" r:id="rId6"/>
    <sheet name="Cooler" sheetId="7" r:id="rId7"/>
    <sheet name="Pipe loss calc" sheetId="13" r:id="rId8"/>
    <sheet name="CO2 Sat Prop" sheetId="11" r:id="rId9"/>
    <sheet name="Cases" sheetId="12" r:id="rId10"/>
    <sheet name="Sunshot Pump Curve" sheetId="10" r:id="rId11"/>
  </sheets>
  <externalReferences>
    <externalReference r:id="rId12"/>
    <externalReference r:id="rId13"/>
    <externalReference r:id="rId14"/>
  </externalReferences>
  <calcPr calcId="191029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1" i="2" l="1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5" i="2"/>
  <c r="A78" i="2"/>
  <c r="A77" i="2"/>
  <c r="A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X75" i="2"/>
  <c r="AD75" i="2"/>
  <c r="R75" i="2"/>
  <c r="F76" i="2"/>
  <c r="F77" i="2"/>
  <c r="F78" i="2"/>
  <c r="F79" i="2"/>
  <c r="F80" i="2"/>
  <c r="F81" i="2"/>
  <c r="F82" i="2"/>
  <c r="F83" i="2"/>
  <c r="F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75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E75" i="2"/>
  <c r="E76" i="2"/>
  <c r="E77" i="2"/>
  <c r="E78" i="2"/>
  <c r="E79" i="2"/>
  <c r="E80" i="2"/>
  <c r="E81" i="2"/>
  <c r="E82" i="2"/>
  <c r="E83" i="2"/>
  <c r="J13" i="2"/>
  <c r="D71" i="2"/>
  <c r="AA81" i="2" l="1"/>
  <c r="U81" i="2"/>
  <c r="O83" i="2"/>
  <c r="I84" i="2"/>
  <c r="O75" i="2"/>
  <c r="I89" i="2"/>
  <c r="I90" i="2"/>
  <c r="AA77" i="2"/>
  <c r="U85" i="2"/>
  <c r="I91" i="2"/>
  <c r="AA82" i="2"/>
  <c r="O84" i="2"/>
  <c r="I85" i="2"/>
  <c r="AA83" i="2"/>
  <c r="U82" i="2"/>
  <c r="I86" i="2"/>
  <c r="AA84" i="2"/>
  <c r="U83" i="2"/>
  <c r="AA85" i="2"/>
  <c r="U75" i="2"/>
  <c r="O85" i="2"/>
  <c r="I88" i="2"/>
  <c r="U77" i="2"/>
  <c r="U86" i="2"/>
  <c r="O78" i="2"/>
  <c r="O87" i="2"/>
  <c r="I76" i="2"/>
  <c r="I75" i="2"/>
  <c r="AA87" i="2"/>
  <c r="O88" i="2"/>
  <c r="I77" i="2"/>
  <c r="AA78" i="2"/>
  <c r="AA88" i="2"/>
  <c r="U78" i="2"/>
  <c r="O79" i="2"/>
  <c r="O89" i="2"/>
  <c r="I78" i="2"/>
  <c r="O76" i="2"/>
  <c r="AA79" i="2"/>
  <c r="AA89" i="2"/>
  <c r="U79" i="2"/>
  <c r="U87" i="2"/>
  <c r="O80" i="2"/>
  <c r="I79" i="2"/>
  <c r="AA86" i="2"/>
  <c r="O86" i="2"/>
  <c r="U88" i="2"/>
  <c r="I80" i="2"/>
  <c r="AA80" i="2"/>
  <c r="U89" i="2"/>
  <c r="O81" i="2"/>
  <c r="I81" i="2"/>
  <c r="AA75" i="2"/>
  <c r="U84" i="2"/>
  <c r="O77" i="2"/>
  <c r="U76" i="2"/>
  <c r="U80" i="2"/>
  <c r="I82" i="2"/>
  <c r="O82" i="2"/>
  <c r="I83" i="2"/>
  <c r="I87" i="2"/>
  <c r="AA76" i="2"/>
  <c r="C81" i="2"/>
  <c r="C82" i="2"/>
  <c r="C83" i="2"/>
  <c r="C75" i="2"/>
  <c r="C76" i="2"/>
  <c r="C77" i="2"/>
  <c r="C78" i="2"/>
  <c r="C79" i="2"/>
  <c r="C80" i="2"/>
  <c r="C3" i="2"/>
  <c r="P25" i="7"/>
  <c r="P26" i="7"/>
  <c r="B21" i="13"/>
  <c r="B4" i="13"/>
  <c r="B3" i="13"/>
  <c r="B5" i="13" s="1"/>
  <c r="K71" i="2"/>
  <c r="H10" i="7"/>
  <c r="H9" i="7"/>
  <c r="D10" i="7"/>
  <c r="C10" i="7"/>
  <c r="C9" i="7"/>
  <c r="C23" i="7"/>
  <c r="E9" i="7"/>
  <c r="E10" i="7"/>
  <c r="B23" i="13" l="1"/>
  <c r="C20" i="5"/>
  <c r="H4" i="5"/>
  <c r="C21" i="5" s="1"/>
  <c r="C20" i="3"/>
  <c r="H4" i="8" l="1"/>
  <c r="H3" i="7"/>
  <c r="N4" i="2"/>
  <c r="B22" i="13" s="1"/>
  <c r="C9" i="2"/>
  <c r="I9" i="2" s="1"/>
  <c r="D9" i="2" l="1"/>
  <c r="G38" i="1"/>
  <c r="L6" i="7"/>
  <c r="L10" i="7" l="1"/>
  <c r="C21" i="7"/>
  <c r="G9" i="2"/>
  <c r="E7" i="2" l="1"/>
  <c r="C20" i="7"/>
  <c r="H4" i="6" l="1"/>
  <c r="T26" i="1" s="1"/>
  <c r="H21" i="1" l="1"/>
  <c r="O21" i="1"/>
  <c r="H4" i="3"/>
  <c r="D26" i="1" l="1"/>
  <c r="C21" i="3"/>
  <c r="H4" i="7"/>
  <c r="H2" i="8" l="1"/>
  <c r="H2" i="6"/>
  <c r="H2" i="5"/>
  <c r="H2" i="3"/>
  <c r="N2" i="2"/>
  <c r="D33" i="1" l="1"/>
  <c r="O4" i="1" s="1"/>
  <c r="H5" i="7" l="1"/>
  <c r="O30" i="1"/>
  <c r="H30" i="1"/>
  <c r="H6" i="7" l="1"/>
  <c r="T33" i="1"/>
  <c r="P38" i="1" l="1"/>
  <c r="C24" i="7"/>
  <c r="K9" i="2" l="1"/>
  <c r="L46" i="2" l="1"/>
  <c r="L51" i="2"/>
  <c r="K30" i="2"/>
  <c r="L16" i="2"/>
  <c r="L33" i="2"/>
  <c r="K19" i="2"/>
  <c r="L14" i="2"/>
  <c r="K47" i="2"/>
  <c r="K54" i="2"/>
  <c r="L57" i="2"/>
  <c r="L20" i="2"/>
  <c r="K16" i="2"/>
  <c r="L31" i="2"/>
  <c r="K48" i="2"/>
  <c r="K40" i="2"/>
  <c r="K49" i="2"/>
  <c r="L54" i="2"/>
  <c r="L28" i="2"/>
  <c r="L56" i="2"/>
  <c r="L39" i="2"/>
  <c r="K23" i="2"/>
  <c r="L38" i="2"/>
  <c r="K37" i="2"/>
  <c r="L50" i="2"/>
  <c r="L43" i="2"/>
  <c r="K38" i="2"/>
  <c r="K35" i="2"/>
  <c r="L41" i="2"/>
  <c r="L52" i="2"/>
  <c r="K50" i="2"/>
  <c r="K51" i="2"/>
  <c r="K52" i="2"/>
  <c r="L40" i="2"/>
  <c r="L26" i="2"/>
  <c r="L32" i="2"/>
  <c r="K15" i="2"/>
  <c r="K39" i="2"/>
  <c r="L29" i="2"/>
  <c r="K27" i="2"/>
  <c r="L15" i="2"/>
  <c r="K33" i="2"/>
  <c r="K26" i="2"/>
  <c r="K44" i="2"/>
  <c r="L58" i="2"/>
  <c r="K24" i="2"/>
  <c r="L25" i="2"/>
  <c r="L37" i="2"/>
  <c r="K29" i="2"/>
  <c r="L44" i="2"/>
  <c r="K28" i="2"/>
  <c r="K56" i="2"/>
  <c r="K58" i="2"/>
  <c r="K18" i="2"/>
  <c r="K46" i="2"/>
  <c r="L35" i="2"/>
  <c r="L47" i="2"/>
  <c r="L30" i="2"/>
  <c r="L24" i="2"/>
  <c r="K36" i="2"/>
  <c r="K25" i="2"/>
  <c r="K31" i="2"/>
  <c r="K20" i="2"/>
  <c r="K32" i="2"/>
  <c r="K17" i="2"/>
  <c r="L22" i="2"/>
  <c r="L18" i="2"/>
  <c r="K13" i="2"/>
  <c r="K53" i="2"/>
  <c r="L21" i="2"/>
  <c r="K34" i="2"/>
  <c r="L17" i="2"/>
  <c r="K14" i="2"/>
  <c r="L53" i="2"/>
  <c r="L48" i="2"/>
  <c r="K43" i="2"/>
  <c r="L45" i="2"/>
  <c r="L23" i="2"/>
  <c r="K42" i="2"/>
  <c r="L36" i="2"/>
  <c r="L13" i="2"/>
  <c r="L49" i="2"/>
  <c r="L34" i="2"/>
  <c r="K21" i="2"/>
  <c r="K55" i="2"/>
  <c r="K22" i="2"/>
  <c r="K57" i="2"/>
  <c r="L55" i="2"/>
  <c r="K45" i="2"/>
  <c r="L19" i="2"/>
  <c r="L27" i="2"/>
  <c r="K41" i="2"/>
  <c r="L42" i="2"/>
  <c r="D3" i="2"/>
  <c r="D4" i="2" s="1"/>
  <c r="D32" i="1" l="1"/>
  <c r="D3" i="8"/>
  <c r="G37" i="1"/>
  <c r="D53" i="1" s="1"/>
  <c r="E53" i="1" s="1"/>
  <c r="D3" i="3"/>
  <c r="H29" i="1" l="1"/>
  <c r="D4" i="8"/>
  <c r="C18" i="3"/>
  <c r="D25" i="1"/>
  <c r="D55" i="1" s="1"/>
  <c r="E55" i="1" s="1"/>
  <c r="D4" i="3"/>
  <c r="O7" i="1"/>
  <c r="D54" i="1"/>
  <c r="E54" i="1" s="1"/>
  <c r="D3" i="5" l="1"/>
  <c r="O29" i="1"/>
  <c r="C18" i="5" l="1"/>
  <c r="H20" i="1"/>
  <c r="B7" i="1" l="1"/>
  <c r="D4" i="5" s="1"/>
  <c r="D56" i="1"/>
  <c r="E56" i="1" s="1"/>
  <c r="O20" i="1" l="1"/>
  <c r="D3" i="6"/>
  <c r="D57" i="1" l="1"/>
  <c r="E57" i="1" s="1"/>
  <c r="D4" i="6"/>
  <c r="T25" i="1" l="1"/>
  <c r="D58" i="1" s="1"/>
  <c r="E58" i="1" s="1"/>
  <c r="D4" i="7"/>
  <c r="D5" i="7" l="1"/>
  <c r="T32" i="1" l="1"/>
  <c r="D59" i="1" s="1"/>
  <c r="E59" i="1" s="1"/>
  <c r="D6" i="7"/>
  <c r="P37" i="1" l="1"/>
  <c r="D60" i="1" s="1"/>
  <c r="E60" i="1" s="1"/>
  <c r="F37" i="1"/>
  <c r="J3" i="2"/>
  <c r="H3" i="2"/>
  <c r="K3" i="2" l="1"/>
  <c r="L3" i="2" s="1"/>
  <c r="B16" i="1" s="1"/>
  <c r="L9" i="2" l="1"/>
  <c r="R15" i="2"/>
  <c r="C4" i="2" s="1"/>
  <c r="C3" i="3" s="1"/>
  <c r="E4" i="2"/>
  <c r="J4" i="2"/>
  <c r="C10" i="3"/>
  <c r="E3" i="3"/>
  <c r="F3" i="3" s="1"/>
  <c r="H4" i="2"/>
  <c r="G4" i="2"/>
  <c r="F4" i="2"/>
  <c r="E32" i="1" l="1"/>
  <c r="K4" i="2"/>
  <c r="L4" i="2" s="1"/>
  <c r="O15" i="2" s="1"/>
  <c r="C33" i="1"/>
  <c r="C54" i="1" s="1"/>
  <c r="C32" i="1"/>
  <c r="E25" i="1"/>
  <c r="C26" i="1"/>
  <c r="C55" i="1" s="1"/>
  <c r="C11" i="3"/>
  <c r="C13" i="3" s="1"/>
  <c r="C14" i="3" s="1"/>
  <c r="C15" i="3" s="1"/>
  <c r="C25" i="1"/>
  <c r="C19" i="3"/>
  <c r="E4" i="3"/>
  <c r="E3" i="5" s="1"/>
  <c r="E4" i="5" s="1"/>
  <c r="F4" i="3"/>
  <c r="F3" i="5"/>
  <c r="C4" i="3"/>
  <c r="C4" i="5"/>
  <c r="F4" i="5"/>
  <c r="P20" i="1" l="1"/>
  <c r="N20" i="1"/>
  <c r="C3" i="6"/>
  <c r="I20" i="1"/>
  <c r="C3" i="5"/>
  <c r="N21" i="1"/>
  <c r="E3" i="6"/>
  <c r="G21" i="1"/>
  <c r="C56" i="1" s="1"/>
  <c r="Q21" i="1"/>
  <c r="B9" i="13"/>
  <c r="C10" i="5"/>
  <c r="B10" i="13"/>
  <c r="F3" i="6"/>
  <c r="B11" i="13" l="1"/>
  <c r="B12" i="13" s="1"/>
  <c r="B14" i="13" s="1"/>
  <c r="B15" i="13" s="1"/>
  <c r="B16" i="13" s="1"/>
  <c r="B17" i="13" s="1"/>
  <c r="C11" i="5"/>
  <c r="C13" i="5" s="1"/>
  <c r="C14" i="5" s="1"/>
  <c r="C15" i="5" s="1"/>
  <c r="E4" i="6"/>
  <c r="C57" i="1"/>
  <c r="C19" i="5"/>
  <c r="G20" i="1"/>
  <c r="F4" i="6"/>
  <c r="C4" i="6"/>
  <c r="C4" i="7" l="1"/>
  <c r="S25" i="1"/>
  <c r="U25" i="1"/>
  <c r="S26" i="1"/>
  <c r="C58" i="1" s="1"/>
  <c r="E4" i="7"/>
  <c r="C3" i="8"/>
  <c r="G29" i="1" s="1"/>
  <c r="F4" i="7"/>
  <c r="E3" i="8"/>
  <c r="F3" i="8"/>
  <c r="G30" i="1" l="1"/>
  <c r="E4" i="8"/>
  <c r="E3" i="7" s="1"/>
  <c r="E5" i="7" s="1"/>
  <c r="E6" i="7" s="1"/>
  <c r="C4" i="8"/>
  <c r="F4" i="8"/>
  <c r="F3" i="7"/>
  <c r="F5" i="7"/>
  <c r="C5" i="7"/>
  <c r="C6" i="7"/>
  <c r="F6" i="7"/>
  <c r="B27" i="13"/>
  <c r="B28" i="13"/>
  <c r="B29" i="13" l="1"/>
  <c r="B30" i="13" s="1"/>
  <c r="B32" i="13" s="1"/>
  <c r="B33" i="13" s="1"/>
  <c r="Q37" i="1"/>
  <c r="O37" i="1"/>
  <c r="S32" i="1"/>
  <c r="U32" i="1"/>
  <c r="N29" i="1"/>
  <c r="C3" i="7"/>
  <c r="O38" i="1"/>
  <c r="C60" i="1" s="1"/>
  <c r="E3" i="2"/>
  <c r="S33" i="1"/>
  <c r="C59" i="1" s="1"/>
  <c r="N30" i="1"/>
  <c r="G3" i="2"/>
  <c r="F3" i="2"/>
  <c r="H37" i="1" l="1"/>
  <c r="F38" i="1"/>
  <c r="C53" i="1" s="1"/>
  <c r="B34" i="13"/>
  <c r="B35" i="13" s="1"/>
</calcChain>
</file>

<file path=xl/sharedStrings.xml><?xml version="1.0" encoding="utf-8"?>
<sst xmlns="http://schemas.openxmlformats.org/spreadsheetml/2006/main" count="304" uniqueCount="160">
  <si>
    <t>DP</t>
  </si>
  <si>
    <t>Temperature [C]</t>
  </si>
  <si>
    <t>Pressure [Bar]</t>
  </si>
  <si>
    <t>Enthalpy [kJ/kg]</t>
  </si>
  <si>
    <t>Entropy [kJ/kg-K]</t>
  </si>
  <si>
    <t>State</t>
  </si>
  <si>
    <t>Density [kg/m^3]</t>
  </si>
  <si>
    <t>Volumetric Flow Rate [m^3/s]</t>
  </si>
  <si>
    <t>Volumetric Flow Rate [m^3/hr]</t>
  </si>
  <si>
    <t>Fluid</t>
  </si>
  <si>
    <t>Flow Rate [kg/s]</t>
  </si>
  <si>
    <t>Pump Inlet</t>
  </si>
  <si>
    <t xml:space="preserve">Pump Outlet </t>
  </si>
  <si>
    <t>Recycle Valve Inlet</t>
  </si>
  <si>
    <t>Recycle Valve Outlet</t>
  </si>
  <si>
    <t>Input Parameters</t>
  </si>
  <si>
    <t>Pump Inlet Pressure (Bar)</t>
  </si>
  <si>
    <t>Test section mass flow (kg/s)</t>
  </si>
  <si>
    <t>Test section P inlet (Bar)</t>
  </si>
  <si>
    <t>Sunshot</t>
  </si>
  <si>
    <t>Speed</t>
  </si>
  <si>
    <t>Flow</t>
  </si>
  <si>
    <t>Head</t>
  </si>
  <si>
    <t>rpm</t>
  </si>
  <si>
    <t>m^3/h</t>
  </si>
  <si>
    <t>m</t>
  </si>
  <si>
    <t>CO2 Out</t>
  </si>
  <si>
    <t>Water In</t>
  </si>
  <si>
    <t>Water out</t>
  </si>
  <si>
    <t>Specific Gravity</t>
  </si>
  <si>
    <t>CO2 In - Recycle</t>
  </si>
  <si>
    <t>CO2 In - Main</t>
  </si>
  <si>
    <t>CO2</t>
  </si>
  <si>
    <t>Combined In</t>
  </si>
  <si>
    <t>H2O</t>
  </si>
  <si>
    <t>psi</t>
  </si>
  <si>
    <t>Valve 1 Inlet</t>
  </si>
  <si>
    <t>Valve 2 Outlet</t>
  </si>
  <si>
    <t>Valve 1 Outlet</t>
  </si>
  <si>
    <t>psi dP per Clive</t>
  </si>
  <si>
    <t>Efficiency %</t>
  </si>
  <si>
    <t>Flow  m^3/h</t>
  </si>
  <si>
    <t>Power kW</t>
  </si>
  <si>
    <t>Specific Heat (kJ/kg*C)</t>
  </si>
  <si>
    <t>Temp (*C)</t>
  </si>
  <si>
    <t>Enthalpy (kJ/kg)</t>
  </si>
  <si>
    <t>Press (Bar)</t>
  </si>
  <si>
    <t>m_dot (kg/s)</t>
  </si>
  <si>
    <t>Cooler CO2 dP (Bar)</t>
  </si>
  <si>
    <t>convert pump mass flow to lb/h</t>
  </si>
  <si>
    <t>Energy Removed from CO2</t>
  </si>
  <si>
    <t>kW</t>
  </si>
  <si>
    <t>Pump Outlet Pressure, psi</t>
  </si>
  <si>
    <t>headrise calc</t>
  </si>
  <si>
    <t>Efficiency Calc</t>
  </si>
  <si>
    <t>Power Calc</t>
  </si>
  <si>
    <t>m^3/hr</t>
  </si>
  <si>
    <t>PUMP SPEED - RPM</t>
  </si>
  <si>
    <t>U</t>
  </si>
  <si>
    <t>BTU/ft2-hr-F</t>
  </si>
  <si>
    <t>LMTD</t>
  </si>
  <si>
    <t>F</t>
  </si>
  <si>
    <t>A</t>
  </si>
  <si>
    <t>ft2</t>
  </si>
  <si>
    <t>power</t>
  </si>
  <si>
    <t>BTU/hr</t>
  </si>
  <si>
    <t>Desired head</t>
  </si>
  <si>
    <t>Required speed</t>
  </si>
  <si>
    <t>Volume Flow</t>
  </si>
  <si>
    <t>HX Pressure Drop</t>
  </si>
  <si>
    <t>bar</t>
  </si>
  <si>
    <t>Values from 16168-2 BEU_68F_outlet</t>
  </si>
  <si>
    <t>Valve 2 dP (Bar)</t>
  </si>
  <si>
    <t>Test Section Outlet</t>
  </si>
  <si>
    <t>Test Section Inlet</t>
  </si>
  <si>
    <t>Valve 2  Inlet</t>
  </si>
  <si>
    <t>Test Section dP (Bar)</t>
  </si>
  <si>
    <t>Valve 1 dP (Bar)</t>
  </si>
  <si>
    <t xml:space="preserve">x = </t>
  </si>
  <si>
    <t>Cooler power (kW)</t>
  </si>
  <si>
    <t>Pump Inlet Temp (*C)</t>
  </si>
  <si>
    <t>Pump Iterate</t>
  </si>
  <si>
    <t>Vol Flow Rate Guess</t>
  </si>
  <si>
    <t>Vol Flow Rate n+1</t>
  </si>
  <si>
    <t>Recycle mass flow (kg/s)</t>
  </si>
  <si>
    <t>Recycle dP (Bar)</t>
  </si>
  <si>
    <t>Calculated to reach test section P</t>
  </si>
  <si>
    <t>Temperature</t>
  </si>
  <si>
    <t>Pressure</t>
  </si>
  <si>
    <t>L Density</t>
  </si>
  <si>
    <t>V Density</t>
  </si>
  <si>
    <t>L Enthalpy</t>
  </si>
  <si>
    <t>V Enthalpy</t>
  </si>
  <si>
    <t>L Entropy</t>
  </si>
  <si>
    <t>V Entropy</t>
  </si>
  <si>
    <t>C</t>
  </si>
  <si>
    <t>Mpa</t>
  </si>
  <si>
    <t>kg/m3</t>
  </si>
  <si>
    <t>kJ/kg</t>
  </si>
  <si>
    <t>kJ/kg K</t>
  </si>
  <si>
    <t>Enthalp</t>
  </si>
  <si>
    <t>Pressure Mpa</t>
  </si>
  <si>
    <t>Pipe sizing</t>
  </si>
  <si>
    <t>density</t>
  </si>
  <si>
    <t>q</t>
  </si>
  <si>
    <t>m3/s</t>
  </si>
  <si>
    <t>desired velocity</t>
  </si>
  <si>
    <t>m/s</t>
  </si>
  <si>
    <t>area</t>
  </si>
  <si>
    <t>m2</t>
  </si>
  <si>
    <t>diameter</t>
  </si>
  <si>
    <t>in</t>
  </si>
  <si>
    <t>Assume 1/2" pipe and valves in test section</t>
  </si>
  <si>
    <t>Upstream P</t>
  </si>
  <si>
    <t>Upstream T</t>
  </si>
  <si>
    <t>Valve DP</t>
  </si>
  <si>
    <t>desired mass flow</t>
  </si>
  <si>
    <t>lbm/s</t>
  </si>
  <si>
    <t>Samson 3251 perhaps</t>
  </si>
  <si>
    <t>https://usa.samsongroup.com/document/t80003en.pdf</t>
  </si>
  <si>
    <t>Need 2500 class</t>
  </si>
  <si>
    <t>Required Cv</t>
  </si>
  <si>
    <t>co2 mass flow</t>
  </si>
  <si>
    <t>lb/hr</t>
  </si>
  <si>
    <t>kg/s</t>
  </si>
  <si>
    <t>power for loop flow</t>
  </si>
  <si>
    <t xml:space="preserve">y = -0.0684x2 </t>
  </si>
  <si>
    <t>Click button to update pump curve</t>
  </si>
  <si>
    <t>Pipe d [in]</t>
  </si>
  <si>
    <t>Pipe d [m]</t>
  </si>
  <si>
    <t>mass flow [kg/s]</t>
  </si>
  <si>
    <t>Test section</t>
  </si>
  <si>
    <t>Cooler/Pump Section</t>
  </si>
  <si>
    <t>Pipe A [m2]</t>
  </si>
  <si>
    <t>Density [kg/m3]</t>
  </si>
  <si>
    <t>Velocity [m/s]</t>
  </si>
  <si>
    <t xml:space="preserve">viscosity </t>
  </si>
  <si>
    <t>Re</t>
  </si>
  <si>
    <t>RHS</t>
  </si>
  <si>
    <t>Roughness [m]</t>
  </si>
  <si>
    <t>darcy</t>
  </si>
  <si>
    <t>Pipe L [m]</t>
  </si>
  <si>
    <t>Num elbows</t>
  </si>
  <si>
    <t>Num tees</t>
  </si>
  <si>
    <t>dP [Pa]</t>
  </si>
  <si>
    <t>dP [bar]</t>
  </si>
  <si>
    <t>out</t>
  </si>
  <si>
    <t xml:space="preserve"> 1.8122x </t>
  </si>
  <si>
    <t xml:space="preserve"> </t>
  </si>
  <si>
    <t>Q  [m3/hr]</t>
  </si>
  <si>
    <t>Head [m]</t>
  </si>
  <si>
    <t>Wc [kg/s]</t>
  </si>
  <si>
    <t>PR</t>
  </si>
  <si>
    <t>Spec sheet suction pressure:</t>
  </si>
  <si>
    <t>barg</t>
  </si>
  <si>
    <t>Spec operating temp</t>
  </si>
  <si>
    <t>Operating density</t>
  </si>
  <si>
    <t>Operating SG</t>
  </si>
  <si>
    <t>Eff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</si>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</sst>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Border="1"/>
    <xf numFmtId="0" fontId="1" fillId="0" borderId="0" xfId="0" applyFont="1"/>
    <xf numFmtId="0" fontId="0" fillId="2" borderId="0" xfId="0" applyFill="1"/>
    <xf numFmtId="0" fontId="0" fillId="0" borderId="0" xfId="0" applyBorder="1"/>
    <xf numFmtId="2" fontId="0" fillId="0" borderId="0" xfId="0" applyNumberFormat="1" applyFill="1" applyBorder="1"/>
    <xf numFmtId="2" fontId="0" fillId="3" borderId="0" xfId="0" applyNumberFormat="1" applyFill="1" applyBorder="1"/>
    <xf numFmtId="2" fontId="0" fillId="3" borderId="0" xfId="0" applyNumberFormat="1" applyFill="1"/>
    <xf numFmtId="2" fontId="0" fillId="0" borderId="0" xfId="0" applyNumberFormat="1" applyFill="1"/>
    <xf numFmtId="0" fontId="0" fillId="3" borderId="1" xfId="0" applyFill="1" applyBorder="1"/>
    <xf numFmtId="165" fontId="0" fillId="0" borderId="0" xfId="0" applyNumberFormat="1" applyFill="1"/>
    <xf numFmtId="2" fontId="0" fillId="0" borderId="1" xfId="0" applyNumberFormat="1" applyBorder="1"/>
    <xf numFmtId="0" fontId="0" fillId="0" borderId="2" xfId="0" applyBorder="1"/>
    <xf numFmtId="0" fontId="0" fillId="0" borderId="0" xfId="0" applyFont="1"/>
    <xf numFmtId="1" fontId="0" fillId="0" borderId="0" xfId="0" applyNumberFormat="1"/>
    <xf numFmtId="0" fontId="0" fillId="0" borderId="1" xfId="0" applyFill="1" applyBorder="1"/>
    <xf numFmtId="0" fontId="2" fillId="0" borderId="0" xfId="0" applyFont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183853017035554"/>
          <c:y val="3.5292942848409642E-2"/>
          <c:w val="0.83286555459094924"/>
          <c:h val="0.85085835158987133"/>
        </c:manualLayout>
      </c:layout>
      <c:scatterChart>
        <c:scatterStyle val="lineMarker"/>
        <c:varyColors val="0"/>
        <c:ser>
          <c:idx val="0"/>
          <c:order val="0"/>
          <c:tx>
            <c:v>Liquid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'CO2 Sat Prop'!$F$5:$F$51</c:f>
              <c:numCache>
                <c:formatCode>General</c:formatCode>
                <c:ptCount val="47"/>
                <c:pt idx="0">
                  <c:v>81.129000000000005</c:v>
                </c:pt>
                <c:pt idx="1">
                  <c:v>83.090999999999994</c:v>
                </c:pt>
                <c:pt idx="2">
                  <c:v>85.055999999999997</c:v>
                </c:pt>
                <c:pt idx="3">
                  <c:v>87.022999999999996</c:v>
                </c:pt>
                <c:pt idx="4">
                  <c:v>88.994</c:v>
                </c:pt>
                <c:pt idx="5">
                  <c:v>90.966999999999999</c:v>
                </c:pt>
                <c:pt idx="6">
                  <c:v>92.942999999999998</c:v>
                </c:pt>
                <c:pt idx="7">
                  <c:v>102.87</c:v>
                </c:pt>
                <c:pt idx="8">
                  <c:v>112.9</c:v>
                </c:pt>
                <c:pt idx="9">
                  <c:v>123.05</c:v>
                </c:pt>
                <c:pt idx="10">
                  <c:v>133.34</c:v>
                </c:pt>
                <c:pt idx="11">
                  <c:v>143.79</c:v>
                </c:pt>
                <c:pt idx="12">
                  <c:v>154.44999999999999</c:v>
                </c:pt>
                <c:pt idx="13">
                  <c:v>165.34</c:v>
                </c:pt>
                <c:pt idx="14">
                  <c:v>176.52</c:v>
                </c:pt>
                <c:pt idx="15">
                  <c:v>188.05</c:v>
                </c:pt>
                <c:pt idx="16">
                  <c:v>200</c:v>
                </c:pt>
                <c:pt idx="17">
                  <c:v>212.5</c:v>
                </c:pt>
                <c:pt idx="18">
                  <c:v>225.73</c:v>
                </c:pt>
                <c:pt idx="19">
                  <c:v>239.99</c:v>
                </c:pt>
                <c:pt idx="20">
                  <c:v>255.87</c:v>
                </c:pt>
                <c:pt idx="21">
                  <c:v>274.77999999999997</c:v>
                </c:pt>
                <c:pt idx="22">
                  <c:v>304.55</c:v>
                </c:pt>
                <c:pt idx="23">
                  <c:v>305.63</c:v>
                </c:pt>
                <c:pt idx="24">
                  <c:v>306.77</c:v>
                </c:pt>
                <c:pt idx="25">
                  <c:v>308</c:v>
                </c:pt>
                <c:pt idx="26">
                  <c:v>309.33</c:v>
                </c:pt>
                <c:pt idx="27">
                  <c:v>310.81</c:v>
                </c:pt>
                <c:pt idx="28">
                  <c:v>312.47000000000003</c:v>
                </c:pt>
                <c:pt idx="29">
                  <c:v>314.42</c:v>
                </c:pt>
                <c:pt idx="30">
                  <c:v>316.83999999999997</c:v>
                </c:pt>
                <c:pt idx="31">
                  <c:v>320.32</c:v>
                </c:pt>
                <c:pt idx="32">
                  <c:v>320.8</c:v>
                </c:pt>
                <c:pt idx="33">
                  <c:v>321.33</c:v>
                </c:pt>
                <c:pt idx="34">
                  <c:v>321.92</c:v>
                </c:pt>
                <c:pt idx="35">
                  <c:v>322.60000000000002</c:v>
                </c:pt>
                <c:pt idx="36">
                  <c:v>323.41000000000003</c:v>
                </c:pt>
                <c:pt idx="37">
                  <c:v>324.44</c:v>
                </c:pt>
                <c:pt idx="38">
                  <c:v>326.02</c:v>
                </c:pt>
                <c:pt idx="39">
                  <c:v>326.24</c:v>
                </c:pt>
                <c:pt idx="40">
                  <c:v>326.49</c:v>
                </c:pt>
                <c:pt idx="41">
                  <c:v>326.77</c:v>
                </c:pt>
                <c:pt idx="42">
                  <c:v>327.10000000000002</c:v>
                </c:pt>
                <c:pt idx="43">
                  <c:v>327.48</c:v>
                </c:pt>
                <c:pt idx="44">
                  <c:v>327.97</c:v>
                </c:pt>
                <c:pt idx="45">
                  <c:v>328.66</c:v>
                </c:pt>
                <c:pt idx="46">
                  <c:v>330.22</c:v>
                </c:pt>
              </c:numCache>
            </c:numRef>
          </c:xVal>
          <c:yVal>
            <c:numRef>
              <c:f>'CO2 Sat Prop'!$C$5:$C$51</c:f>
              <c:numCache>
                <c:formatCode>General</c:formatCode>
                <c:ptCount val="47"/>
                <c:pt idx="0">
                  <c:v>0.53064999999999996</c:v>
                </c:pt>
                <c:pt idx="1">
                  <c:v>0.55396999999999996</c:v>
                </c:pt>
                <c:pt idx="2">
                  <c:v>0.57804999999999995</c:v>
                </c:pt>
                <c:pt idx="3">
                  <c:v>0.60290999999999995</c:v>
                </c:pt>
                <c:pt idx="4">
                  <c:v>0.62856999999999996</c:v>
                </c:pt>
                <c:pt idx="5">
                  <c:v>0.65503999999999996</c:v>
                </c:pt>
                <c:pt idx="6">
                  <c:v>0.68233999999999995</c:v>
                </c:pt>
                <c:pt idx="7">
                  <c:v>0.83184000000000002</c:v>
                </c:pt>
                <c:pt idx="8">
                  <c:v>1.0044999999999999</c:v>
                </c:pt>
                <c:pt idx="9">
                  <c:v>1.2023999999999999</c:v>
                </c:pt>
                <c:pt idx="10">
                  <c:v>1.4278</c:v>
                </c:pt>
                <c:pt idx="11">
                  <c:v>1.6827000000000001</c:v>
                </c:pt>
                <c:pt idx="12">
                  <c:v>1.9696</c:v>
                </c:pt>
                <c:pt idx="13">
                  <c:v>2.2907999999999999</c:v>
                </c:pt>
                <c:pt idx="14">
                  <c:v>2.6486999999999998</c:v>
                </c:pt>
                <c:pt idx="15">
                  <c:v>3.0459000000000001</c:v>
                </c:pt>
                <c:pt idx="16">
                  <c:v>3.4851000000000001</c:v>
                </c:pt>
                <c:pt idx="17">
                  <c:v>3.9695</c:v>
                </c:pt>
                <c:pt idx="18">
                  <c:v>4.5022000000000002</c:v>
                </c:pt>
                <c:pt idx="19">
                  <c:v>5.0871000000000004</c:v>
                </c:pt>
                <c:pt idx="20">
                  <c:v>5.7290999999999999</c:v>
                </c:pt>
                <c:pt idx="21">
                  <c:v>6.4341999999999997</c:v>
                </c:pt>
                <c:pt idx="22">
                  <c:v>7.2137000000000002</c:v>
                </c:pt>
                <c:pt idx="23">
                  <c:v>7.2302</c:v>
                </c:pt>
                <c:pt idx="24">
                  <c:v>7.2466999999999997</c:v>
                </c:pt>
                <c:pt idx="25">
                  <c:v>7.2633000000000001</c:v>
                </c:pt>
                <c:pt idx="26">
                  <c:v>7.28</c:v>
                </c:pt>
                <c:pt idx="27">
                  <c:v>7.2967000000000004</c:v>
                </c:pt>
                <c:pt idx="28">
                  <c:v>7.3133999999999997</c:v>
                </c:pt>
                <c:pt idx="29">
                  <c:v>7.3301999999999996</c:v>
                </c:pt>
                <c:pt idx="30">
                  <c:v>7.3471000000000002</c:v>
                </c:pt>
                <c:pt idx="31">
                  <c:v>7.3639999999999999</c:v>
                </c:pt>
                <c:pt idx="32">
                  <c:v>7.3657000000000004</c:v>
                </c:pt>
                <c:pt idx="33">
                  <c:v>7.3673999999999999</c:v>
                </c:pt>
                <c:pt idx="34">
                  <c:v>7.3691000000000004</c:v>
                </c:pt>
                <c:pt idx="35">
                  <c:v>7.3708</c:v>
                </c:pt>
                <c:pt idx="36">
                  <c:v>7.3724999999999996</c:v>
                </c:pt>
                <c:pt idx="37">
                  <c:v>7.3742000000000001</c:v>
                </c:pt>
                <c:pt idx="38">
                  <c:v>7.3758999999999997</c:v>
                </c:pt>
                <c:pt idx="39">
                  <c:v>7.3761000000000001</c:v>
                </c:pt>
                <c:pt idx="40">
                  <c:v>7.3761999999999999</c:v>
                </c:pt>
                <c:pt idx="41">
                  <c:v>7.3764000000000003</c:v>
                </c:pt>
                <c:pt idx="42">
                  <c:v>7.3765999999999998</c:v>
                </c:pt>
                <c:pt idx="43">
                  <c:v>7.3768000000000002</c:v>
                </c:pt>
                <c:pt idx="44">
                  <c:v>7.3769</c:v>
                </c:pt>
                <c:pt idx="45">
                  <c:v>7.3771000000000004</c:v>
                </c:pt>
                <c:pt idx="46">
                  <c:v>7.3773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7A-4D57-8047-28D68470C863}"/>
            </c:ext>
          </c:extLst>
        </c:ser>
        <c:ser>
          <c:idx val="1"/>
          <c:order val="1"/>
          <c:tx>
            <c:v>Vapor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'[2]CO2 Sat Prop'!$G$5:$G$51</c:f>
              <c:numCache>
                <c:formatCode>General</c:formatCode>
                <c:ptCount val="47"/>
                <c:pt idx="0">
                  <c:v>430.62</c:v>
                </c:pt>
                <c:pt idx="1">
                  <c:v>430.99</c:v>
                </c:pt>
                <c:pt idx="2">
                  <c:v>431.34</c:v>
                </c:pt>
                <c:pt idx="3">
                  <c:v>431.69</c:v>
                </c:pt>
                <c:pt idx="4">
                  <c:v>432.03</c:v>
                </c:pt>
                <c:pt idx="5">
                  <c:v>432.36</c:v>
                </c:pt>
                <c:pt idx="6">
                  <c:v>432.68</c:v>
                </c:pt>
                <c:pt idx="7">
                  <c:v>434.13</c:v>
                </c:pt>
                <c:pt idx="8">
                  <c:v>435.32</c:v>
                </c:pt>
                <c:pt idx="9">
                  <c:v>436.23</c:v>
                </c:pt>
                <c:pt idx="10">
                  <c:v>436.82</c:v>
                </c:pt>
                <c:pt idx="11">
                  <c:v>437.06</c:v>
                </c:pt>
                <c:pt idx="12">
                  <c:v>436.89</c:v>
                </c:pt>
                <c:pt idx="13">
                  <c:v>436.27</c:v>
                </c:pt>
                <c:pt idx="14">
                  <c:v>435.14</c:v>
                </c:pt>
                <c:pt idx="15">
                  <c:v>433.38</c:v>
                </c:pt>
                <c:pt idx="16">
                  <c:v>430.89</c:v>
                </c:pt>
                <c:pt idx="17">
                  <c:v>427.48</c:v>
                </c:pt>
                <c:pt idx="18">
                  <c:v>422.88</c:v>
                </c:pt>
                <c:pt idx="19">
                  <c:v>416.64</c:v>
                </c:pt>
                <c:pt idx="20">
                  <c:v>407.87</c:v>
                </c:pt>
                <c:pt idx="21">
                  <c:v>394.43</c:v>
                </c:pt>
                <c:pt idx="22">
                  <c:v>365.13</c:v>
                </c:pt>
                <c:pt idx="23">
                  <c:v>363.86</c:v>
                </c:pt>
                <c:pt idx="24">
                  <c:v>362.5</c:v>
                </c:pt>
                <c:pt idx="25">
                  <c:v>361.02</c:v>
                </c:pt>
                <c:pt idx="26">
                  <c:v>359.39</c:v>
                </c:pt>
                <c:pt idx="27">
                  <c:v>357.57</c:v>
                </c:pt>
                <c:pt idx="28">
                  <c:v>355.48</c:v>
                </c:pt>
                <c:pt idx="29">
                  <c:v>353.02</c:v>
                </c:pt>
                <c:pt idx="30">
                  <c:v>349.91</c:v>
                </c:pt>
                <c:pt idx="31">
                  <c:v>345.41</c:v>
                </c:pt>
                <c:pt idx="32">
                  <c:v>344.79</c:v>
                </c:pt>
                <c:pt idx="33">
                  <c:v>344.11</c:v>
                </c:pt>
                <c:pt idx="34">
                  <c:v>343.35</c:v>
                </c:pt>
                <c:pt idx="35">
                  <c:v>342.49</c:v>
                </c:pt>
                <c:pt idx="36">
                  <c:v>341.48</c:v>
                </c:pt>
                <c:pt idx="37">
                  <c:v>340.2</c:v>
                </c:pt>
                <c:pt idx="38">
                  <c:v>338.32</c:v>
                </c:pt>
                <c:pt idx="39">
                  <c:v>338.06</c:v>
                </c:pt>
                <c:pt idx="40">
                  <c:v>337.78</c:v>
                </c:pt>
                <c:pt idx="41">
                  <c:v>337.46</c:v>
                </c:pt>
                <c:pt idx="42">
                  <c:v>337.1</c:v>
                </c:pt>
                <c:pt idx="43">
                  <c:v>336.67</c:v>
                </c:pt>
                <c:pt idx="44">
                  <c:v>336.15</c:v>
                </c:pt>
                <c:pt idx="45">
                  <c:v>335.4</c:v>
                </c:pt>
                <c:pt idx="46">
                  <c:v>333.93</c:v>
                </c:pt>
              </c:numCache>
            </c:numRef>
          </c:xVal>
          <c:yVal>
            <c:numRef>
              <c:f>'[2]CO2 Sat Prop'!$C$5:$C$51</c:f>
              <c:numCache>
                <c:formatCode>General</c:formatCode>
                <c:ptCount val="47"/>
                <c:pt idx="0">
                  <c:v>0.53064999999999996</c:v>
                </c:pt>
                <c:pt idx="1">
                  <c:v>0.55396999999999996</c:v>
                </c:pt>
                <c:pt idx="2">
                  <c:v>0.57804999999999995</c:v>
                </c:pt>
                <c:pt idx="3">
                  <c:v>0.60290999999999995</c:v>
                </c:pt>
                <c:pt idx="4">
                  <c:v>0.62856999999999996</c:v>
                </c:pt>
                <c:pt idx="5">
                  <c:v>0.65503999999999996</c:v>
                </c:pt>
                <c:pt idx="6">
                  <c:v>0.68233999999999995</c:v>
                </c:pt>
                <c:pt idx="7">
                  <c:v>0.83184000000000002</c:v>
                </c:pt>
                <c:pt idx="8">
                  <c:v>1.0044999999999999</c:v>
                </c:pt>
                <c:pt idx="9">
                  <c:v>1.2023999999999999</c:v>
                </c:pt>
                <c:pt idx="10">
                  <c:v>1.4278</c:v>
                </c:pt>
                <c:pt idx="11">
                  <c:v>1.6827000000000001</c:v>
                </c:pt>
                <c:pt idx="12">
                  <c:v>1.9696</c:v>
                </c:pt>
                <c:pt idx="13">
                  <c:v>2.2907999999999999</c:v>
                </c:pt>
                <c:pt idx="14">
                  <c:v>2.6486999999999998</c:v>
                </c:pt>
                <c:pt idx="15">
                  <c:v>3.0459000000000001</c:v>
                </c:pt>
                <c:pt idx="16">
                  <c:v>3.4851000000000001</c:v>
                </c:pt>
                <c:pt idx="17">
                  <c:v>3.9695</c:v>
                </c:pt>
                <c:pt idx="18">
                  <c:v>4.5022000000000002</c:v>
                </c:pt>
                <c:pt idx="19">
                  <c:v>5.0871000000000004</c:v>
                </c:pt>
                <c:pt idx="20">
                  <c:v>5.7290999999999999</c:v>
                </c:pt>
                <c:pt idx="21">
                  <c:v>6.4341999999999997</c:v>
                </c:pt>
                <c:pt idx="22">
                  <c:v>7.2137000000000002</c:v>
                </c:pt>
                <c:pt idx="23">
                  <c:v>7.2302</c:v>
                </c:pt>
                <c:pt idx="24">
                  <c:v>7.2466999999999997</c:v>
                </c:pt>
                <c:pt idx="25">
                  <c:v>7.2633000000000001</c:v>
                </c:pt>
                <c:pt idx="26">
                  <c:v>7.28</c:v>
                </c:pt>
                <c:pt idx="27">
                  <c:v>7.2967000000000004</c:v>
                </c:pt>
                <c:pt idx="28">
                  <c:v>7.3133999999999997</c:v>
                </c:pt>
                <c:pt idx="29">
                  <c:v>7.3301999999999996</c:v>
                </c:pt>
                <c:pt idx="30">
                  <c:v>7.3471000000000002</c:v>
                </c:pt>
                <c:pt idx="31">
                  <c:v>7.3639999999999999</c:v>
                </c:pt>
                <c:pt idx="32">
                  <c:v>7.3657000000000004</c:v>
                </c:pt>
                <c:pt idx="33">
                  <c:v>7.3673999999999999</c:v>
                </c:pt>
                <c:pt idx="34">
                  <c:v>7.3691000000000004</c:v>
                </c:pt>
                <c:pt idx="35">
                  <c:v>7.3708</c:v>
                </c:pt>
                <c:pt idx="36">
                  <c:v>7.3724999999999996</c:v>
                </c:pt>
                <c:pt idx="37">
                  <c:v>7.3742000000000001</c:v>
                </c:pt>
                <c:pt idx="38">
                  <c:v>7.3758999999999997</c:v>
                </c:pt>
                <c:pt idx="39">
                  <c:v>7.3761000000000001</c:v>
                </c:pt>
                <c:pt idx="40">
                  <c:v>7.3761999999999999</c:v>
                </c:pt>
                <c:pt idx="41">
                  <c:v>7.3764000000000003</c:v>
                </c:pt>
                <c:pt idx="42">
                  <c:v>7.3765999999999998</c:v>
                </c:pt>
                <c:pt idx="43">
                  <c:v>7.3768000000000002</c:v>
                </c:pt>
                <c:pt idx="44">
                  <c:v>7.3769</c:v>
                </c:pt>
                <c:pt idx="45">
                  <c:v>7.3771000000000004</c:v>
                </c:pt>
                <c:pt idx="46">
                  <c:v>7.3773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7A-4D57-8047-28D68470C8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'Statepoint Summary'!$C$53:$C$60</c:f>
              <c:numCache>
                <c:formatCode>0.00</c:formatCode>
                <c:ptCount val="8"/>
                <c:pt idx="0">
                  <c:v>220.10914044608833</c:v>
                </c:pt>
                <c:pt idx="1">
                  <c:v>228.44247377942168</c:v>
                </c:pt>
                <c:pt idx="2">
                  <c:v>228.44247377942168</c:v>
                </c:pt>
                <c:pt idx="3">
                  <c:v>228.44247377942168</c:v>
                </c:pt>
                <c:pt idx="4">
                  <c:v>228.44247377942168</c:v>
                </c:pt>
                <c:pt idx="5">
                  <c:v>228.44247377942168</c:v>
                </c:pt>
                <c:pt idx="6">
                  <c:v>228.44247377942168</c:v>
                </c:pt>
                <c:pt idx="7">
                  <c:v>220.10914044608833</c:v>
                </c:pt>
              </c:numCache>
            </c:numRef>
          </c:xVal>
          <c:yVal>
            <c:numRef>
              <c:f>'Statepoint Summary'!$E$53:$E$60</c:f>
              <c:numCache>
                <c:formatCode>General</c:formatCode>
                <c:ptCount val="8"/>
                <c:pt idx="0">
                  <c:v>4.8499999999999996</c:v>
                </c:pt>
                <c:pt idx="1">
                  <c:v>19.136562063861248</c:v>
                </c:pt>
                <c:pt idx="2">
                  <c:v>19.136562063861248</c:v>
                </c:pt>
                <c:pt idx="3">
                  <c:v>14.936562063861249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7A-4D57-8047-28D68470C863}"/>
            </c:ext>
          </c:extLst>
        </c:ser>
        <c:ser>
          <c:idx val="3"/>
          <c:order val="3"/>
          <c:tx>
            <c:v>Melt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'[2]CO2 Sat Prop'!$N$5:$N$123</c:f>
              <c:numCache>
                <c:formatCode>General</c:formatCode>
                <c:ptCount val="119"/>
                <c:pt idx="0">
                  <c:v>80.061999999999998</c:v>
                </c:pt>
                <c:pt idx="1">
                  <c:v>80.224999999999994</c:v>
                </c:pt>
                <c:pt idx="2">
                  <c:v>80.388999999999996</c:v>
                </c:pt>
                <c:pt idx="3">
                  <c:v>80.554000000000002</c:v>
                </c:pt>
                <c:pt idx="4">
                  <c:v>80.718000000000004</c:v>
                </c:pt>
                <c:pt idx="5">
                  <c:v>80.882999999999996</c:v>
                </c:pt>
                <c:pt idx="6">
                  <c:v>81.046999999999997</c:v>
                </c:pt>
                <c:pt idx="7">
                  <c:v>81.212000000000003</c:v>
                </c:pt>
                <c:pt idx="8">
                  <c:v>81.875</c:v>
                </c:pt>
                <c:pt idx="9">
                  <c:v>82.540999999999997</c:v>
                </c:pt>
                <c:pt idx="10">
                  <c:v>83.21</c:v>
                </c:pt>
                <c:pt idx="11">
                  <c:v>83.882999999999996</c:v>
                </c:pt>
                <c:pt idx="12">
                  <c:v>84.558999999999997</c:v>
                </c:pt>
                <c:pt idx="13">
                  <c:v>85.239000000000004</c:v>
                </c:pt>
                <c:pt idx="14">
                  <c:v>85.921000000000006</c:v>
                </c:pt>
                <c:pt idx="15">
                  <c:v>86.606999999999999</c:v>
                </c:pt>
                <c:pt idx="16">
                  <c:v>87.296000000000006</c:v>
                </c:pt>
                <c:pt idx="17">
                  <c:v>87.986999999999995</c:v>
                </c:pt>
                <c:pt idx="18">
                  <c:v>88.682000000000002</c:v>
                </c:pt>
                <c:pt idx="19">
                  <c:v>89.38</c:v>
                </c:pt>
                <c:pt idx="20">
                  <c:v>90.08</c:v>
                </c:pt>
                <c:pt idx="21">
                  <c:v>90.784000000000006</c:v>
                </c:pt>
                <c:pt idx="22">
                  <c:v>91.49</c:v>
                </c:pt>
                <c:pt idx="23">
                  <c:v>92.198999999999998</c:v>
                </c:pt>
                <c:pt idx="24">
                  <c:v>92.91</c:v>
                </c:pt>
                <c:pt idx="25">
                  <c:v>93.625</c:v>
                </c:pt>
                <c:pt idx="26">
                  <c:v>94.341999999999999</c:v>
                </c:pt>
                <c:pt idx="27">
                  <c:v>95.061000000000007</c:v>
                </c:pt>
                <c:pt idx="28">
                  <c:v>95.783000000000001</c:v>
                </c:pt>
                <c:pt idx="29">
                  <c:v>96.507999999999996</c:v>
                </c:pt>
                <c:pt idx="30">
                  <c:v>97.234999999999999</c:v>
                </c:pt>
                <c:pt idx="31">
                  <c:v>97.965000000000003</c:v>
                </c:pt>
                <c:pt idx="32">
                  <c:v>98.697000000000003</c:v>
                </c:pt>
                <c:pt idx="33">
                  <c:v>99.430999999999997</c:v>
                </c:pt>
                <c:pt idx="34">
                  <c:v>100.17</c:v>
                </c:pt>
                <c:pt idx="35">
                  <c:v>100.91</c:v>
                </c:pt>
                <c:pt idx="36">
                  <c:v>101.65</c:v>
                </c:pt>
                <c:pt idx="37">
                  <c:v>102.39</c:v>
                </c:pt>
                <c:pt idx="38">
                  <c:v>103.14</c:v>
                </c:pt>
                <c:pt idx="39">
                  <c:v>106.9</c:v>
                </c:pt>
                <c:pt idx="40">
                  <c:v>110.72</c:v>
                </c:pt>
                <c:pt idx="41">
                  <c:v>114.59</c:v>
                </c:pt>
                <c:pt idx="42">
                  <c:v>118.5</c:v>
                </c:pt>
                <c:pt idx="43">
                  <c:v>122.46</c:v>
                </c:pt>
                <c:pt idx="44">
                  <c:v>126.47</c:v>
                </c:pt>
                <c:pt idx="45">
                  <c:v>130.52000000000001</c:v>
                </c:pt>
                <c:pt idx="46">
                  <c:v>134.62</c:v>
                </c:pt>
                <c:pt idx="47">
                  <c:v>138.75</c:v>
                </c:pt>
                <c:pt idx="48">
                  <c:v>142.91999999999999</c:v>
                </c:pt>
                <c:pt idx="49">
                  <c:v>147.13999999999999</c:v>
                </c:pt>
                <c:pt idx="50">
                  <c:v>151.38999999999999</c:v>
                </c:pt>
                <c:pt idx="51">
                  <c:v>155.66999999999999</c:v>
                </c:pt>
                <c:pt idx="52">
                  <c:v>160</c:v>
                </c:pt>
                <c:pt idx="53">
                  <c:v>164.36</c:v>
                </c:pt>
                <c:pt idx="54">
                  <c:v>168.75</c:v>
                </c:pt>
                <c:pt idx="55">
                  <c:v>173.18</c:v>
                </c:pt>
                <c:pt idx="56">
                  <c:v>177.65</c:v>
                </c:pt>
                <c:pt idx="57">
                  <c:v>182.15</c:v>
                </c:pt>
                <c:pt idx="58">
                  <c:v>186.68</c:v>
                </c:pt>
                <c:pt idx="59">
                  <c:v>191.24</c:v>
                </c:pt>
                <c:pt idx="60">
                  <c:v>195.84</c:v>
                </c:pt>
                <c:pt idx="61">
                  <c:v>200.47</c:v>
                </c:pt>
                <c:pt idx="62">
                  <c:v>205.13</c:v>
                </c:pt>
                <c:pt idx="63">
                  <c:v>209.82</c:v>
                </c:pt>
                <c:pt idx="64">
                  <c:v>214.54</c:v>
                </c:pt>
                <c:pt idx="65">
                  <c:v>219.29</c:v>
                </c:pt>
                <c:pt idx="66">
                  <c:v>224.08</c:v>
                </c:pt>
                <c:pt idx="67">
                  <c:v>228.9</c:v>
                </c:pt>
                <c:pt idx="68">
                  <c:v>233.74</c:v>
                </c:pt>
                <c:pt idx="69">
                  <c:v>238.62</c:v>
                </c:pt>
                <c:pt idx="70">
                  <c:v>243.52</c:v>
                </c:pt>
                <c:pt idx="71">
                  <c:v>248.46</c:v>
                </c:pt>
                <c:pt idx="72">
                  <c:v>253.42</c:v>
                </c:pt>
                <c:pt idx="73">
                  <c:v>258.42</c:v>
                </c:pt>
                <c:pt idx="74">
                  <c:v>263.44</c:v>
                </c:pt>
                <c:pt idx="75">
                  <c:v>268.49</c:v>
                </c:pt>
                <c:pt idx="76">
                  <c:v>273.57</c:v>
                </c:pt>
                <c:pt idx="77">
                  <c:v>278.68</c:v>
                </c:pt>
                <c:pt idx="78">
                  <c:v>283.82</c:v>
                </c:pt>
                <c:pt idx="79">
                  <c:v>288.99</c:v>
                </c:pt>
                <c:pt idx="80">
                  <c:v>294.19</c:v>
                </c:pt>
                <c:pt idx="81">
                  <c:v>299.41000000000003</c:v>
                </c:pt>
                <c:pt idx="82">
                  <c:v>304.66000000000003</c:v>
                </c:pt>
                <c:pt idx="83">
                  <c:v>309.94</c:v>
                </c:pt>
                <c:pt idx="84">
                  <c:v>315.25</c:v>
                </c:pt>
                <c:pt idx="85">
                  <c:v>320.58999999999997</c:v>
                </c:pt>
                <c:pt idx="86">
                  <c:v>325.95</c:v>
                </c:pt>
                <c:pt idx="87">
                  <c:v>331.34</c:v>
                </c:pt>
                <c:pt idx="88">
                  <c:v>336.76</c:v>
                </c:pt>
                <c:pt idx="89">
                  <c:v>342.21</c:v>
                </c:pt>
                <c:pt idx="90">
                  <c:v>347.68</c:v>
                </c:pt>
                <c:pt idx="91">
                  <c:v>353.18</c:v>
                </c:pt>
                <c:pt idx="92">
                  <c:v>358.71</c:v>
                </c:pt>
                <c:pt idx="93">
                  <c:v>364.27</c:v>
                </c:pt>
                <c:pt idx="94">
                  <c:v>369.85</c:v>
                </c:pt>
                <c:pt idx="95">
                  <c:v>375.46</c:v>
                </c:pt>
                <c:pt idx="96">
                  <c:v>381.09</c:v>
                </c:pt>
                <c:pt idx="97">
                  <c:v>386.76</c:v>
                </c:pt>
                <c:pt idx="98">
                  <c:v>392.45</c:v>
                </c:pt>
                <c:pt idx="99">
                  <c:v>398.16</c:v>
                </c:pt>
                <c:pt idx="100">
                  <c:v>403.9</c:v>
                </c:pt>
                <c:pt idx="101">
                  <c:v>409.67</c:v>
                </c:pt>
                <c:pt idx="102">
                  <c:v>415.47</c:v>
                </c:pt>
                <c:pt idx="103">
                  <c:v>421.29</c:v>
                </c:pt>
                <c:pt idx="104">
                  <c:v>427.14</c:v>
                </c:pt>
                <c:pt idx="105">
                  <c:v>433.01</c:v>
                </c:pt>
                <c:pt idx="106">
                  <c:v>438.91</c:v>
                </c:pt>
                <c:pt idx="107">
                  <c:v>444.84</c:v>
                </c:pt>
                <c:pt idx="108">
                  <c:v>450.79</c:v>
                </c:pt>
                <c:pt idx="109">
                  <c:v>456.77</c:v>
                </c:pt>
                <c:pt idx="110">
                  <c:v>462.77</c:v>
                </c:pt>
                <c:pt idx="111">
                  <c:v>468.8</c:v>
                </c:pt>
                <c:pt idx="112">
                  <c:v>474.86</c:v>
                </c:pt>
                <c:pt idx="113">
                  <c:v>480.94</c:v>
                </c:pt>
                <c:pt idx="114">
                  <c:v>487.05</c:v>
                </c:pt>
                <c:pt idx="115">
                  <c:v>493.18</c:v>
                </c:pt>
                <c:pt idx="116">
                  <c:v>499.34</c:v>
                </c:pt>
                <c:pt idx="117">
                  <c:v>505.52</c:v>
                </c:pt>
                <c:pt idx="118">
                  <c:v>511.73</c:v>
                </c:pt>
              </c:numCache>
            </c:numRef>
          </c:xVal>
          <c:yVal>
            <c:numRef>
              <c:f>'[2]CO2 Sat Prop'!$L$5:$L$123</c:f>
              <c:numCache>
                <c:formatCode>General</c:formatCode>
                <c:ptCount val="119"/>
                <c:pt idx="0">
                  <c:v>0.55535999999999996</c:v>
                </c:pt>
                <c:pt idx="1">
                  <c:v>0.78925999999999996</c:v>
                </c:pt>
                <c:pt idx="2">
                  <c:v>1.0233000000000001</c:v>
                </c:pt>
                <c:pt idx="3">
                  <c:v>1.2574000000000001</c:v>
                </c:pt>
                <c:pt idx="4">
                  <c:v>1.4916</c:v>
                </c:pt>
                <c:pt idx="5">
                  <c:v>1.726</c:v>
                </c:pt>
                <c:pt idx="6">
                  <c:v>1.9603999999999999</c:v>
                </c:pt>
                <c:pt idx="7">
                  <c:v>2.1949999999999998</c:v>
                </c:pt>
                <c:pt idx="8">
                  <c:v>3.1343999999999999</c:v>
                </c:pt>
                <c:pt idx="9">
                  <c:v>4.0757000000000003</c:v>
                </c:pt>
                <c:pt idx="10">
                  <c:v>5.0187999999999997</c:v>
                </c:pt>
                <c:pt idx="11">
                  <c:v>5.9637000000000002</c:v>
                </c:pt>
                <c:pt idx="12">
                  <c:v>6.9104000000000001</c:v>
                </c:pt>
                <c:pt idx="13">
                  <c:v>7.8589000000000002</c:v>
                </c:pt>
                <c:pt idx="14">
                  <c:v>8.8092000000000006</c:v>
                </c:pt>
                <c:pt idx="15">
                  <c:v>9.7614000000000001</c:v>
                </c:pt>
                <c:pt idx="16">
                  <c:v>10.715</c:v>
                </c:pt>
                <c:pt idx="17">
                  <c:v>11.670999999999999</c:v>
                </c:pt>
                <c:pt idx="18">
                  <c:v>12.629</c:v>
                </c:pt>
                <c:pt idx="19">
                  <c:v>13.587999999999999</c:v>
                </c:pt>
                <c:pt idx="20">
                  <c:v>14.548999999999999</c:v>
                </c:pt>
                <c:pt idx="21">
                  <c:v>15.512</c:v>
                </c:pt>
                <c:pt idx="22">
                  <c:v>16.477</c:v>
                </c:pt>
                <c:pt idx="23">
                  <c:v>17.443999999999999</c:v>
                </c:pt>
                <c:pt idx="24">
                  <c:v>18.411999999999999</c:v>
                </c:pt>
                <c:pt idx="25">
                  <c:v>19.382999999999999</c:v>
                </c:pt>
                <c:pt idx="26">
                  <c:v>20.355</c:v>
                </c:pt>
                <c:pt idx="27">
                  <c:v>21.329000000000001</c:v>
                </c:pt>
                <c:pt idx="28">
                  <c:v>22.303999999999998</c:v>
                </c:pt>
                <c:pt idx="29">
                  <c:v>23.282</c:v>
                </c:pt>
                <c:pt idx="30">
                  <c:v>24.260999999999999</c:v>
                </c:pt>
                <c:pt idx="31">
                  <c:v>25.242999999999999</c:v>
                </c:pt>
                <c:pt idx="32">
                  <c:v>26.225999999999999</c:v>
                </c:pt>
                <c:pt idx="33">
                  <c:v>27.21</c:v>
                </c:pt>
                <c:pt idx="34">
                  <c:v>28.196999999999999</c:v>
                </c:pt>
                <c:pt idx="35">
                  <c:v>29.186</c:v>
                </c:pt>
                <c:pt idx="36">
                  <c:v>30.175999999999998</c:v>
                </c:pt>
                <c:pt idx="37">
                  <c:v>31.167999999999999</c:v>
                </c:pt>
                <c:pt idx="38">
                  <c:v>32.161999999999999</c:v>
                </c:pt>
                <c:pt idx="39">
                  <c:v>37.158999999999999</c:v>
                </c:pt>
                <c:pt idx="40">
                  <c:v>42.201000000000001</c:v>
                </c:pt>
                <c:pt idx="41">
                  <c:v>47.287999999999997</c:v>
                </c:pt>
                <c:pt idx="42">
                  <c:v>52.420999999999999</c:v>
                </c:pt>
                <c:pt idx="43">
                  <c:v>57.598999999999997</c:v>
                </c:pt>
                <c:pt idx="44">
                  <c:v>62.823</c:v>
                </c:pt>
                <c:pt idx="45">
                  <c:v>68.091999999999999</c:v>
                </c:pt>
                <c:pt idx="46">
                  <c:v>73.406999999999996</c:v>
                </c:pt>
                <c:pt idx="47">
                  <c:v>78.766999999999996</c:v>
                </c:pt>
                <c:pt idx="48">
                  <c:v>84.171999999999997</c:v>
                </c:pt>
                <c:pt idx="49">
                  <c:v>89.622</c:v>
                </c:pt>
                <c:pt idx="50">
                  <c:v>95.117999999999995</c:v>
                </c:pt>
                <c:pt idx="51">
                  <c:v>100.66</c:v>
                </c:pt>
                <c:pt idx="52">
                  <c:v>106.25</c:v>
                </c:pt>
                <c:pt idx="53">
                  <c:v>111.88</c:v>
                </c:pt>
                <c:pt idx="54">
                  <c:v>117.56</c:v>
                </c:pt>
                <c:pt idx="55">
                  <c:v>123.28</c:v>
                </c:pt>
                <c:pt idx="56">
                  <c:v>129.05000000000001</c:v>
                </c:pt>
                <c:pt idx="57">
                  <c:v>134.86000000000001</c:v>
                </c:pt>
                <c:pt idx="58">
                  <c:v>140.72</c:v>
                </c:pt>
                <c:pt idx="59">
                  <c:v>146.63</c:v>
                </c:pt>
                <c:pt idx="60">
                  <c:v>152.58000000000001</c:v>
                </c:pt>
                <c:pt idx="61">
                  <c:v>158.57</c:v>
                </c:pt>
                <c:pt idx="62">
                  <c:v>164.61</c:v>
                </c:pt>
                <c:pt idx="63">
                  <c:v>170.7</c:v>
                </c:pt>
                <c:pt idx="64">
                  <c:v>176.83</c:v>
                </c:pt>
                <c:pt idx="65">
                  <c:v>183.01</c:v>
                </c:pt>
                <c:pt idx="66">
                  <c:v>189.23</c:v>
                </c:pt>
                <c:pt idx="67">
                  <c:v>195.5</c:v>
                </c:pt>
                <c:pt idx="68">
                  <c:v>201.81</c:v>
                </c:pt>
                <c:pt idx="69">
                  <c:v>208.17</c:v>
                </c:pt>
                <c:pt idx="70">
                  <c:v>214.57</c:v>
                </c:pt>
                <c:pt idx="71">
                  <c:v>221.02</c:v>
                </c:pt>
                <c:pt idx="72">
                  <c:v>227.51</c:v>
                </c:pt>
                <c:pt idx="73">
                  <c:v>234.05</c:v>
                </c:pt>
                <c:pt idx="74">
                  <c:v>240.64</c:v>
                </c:pt>
                <c:pt idx="75">
                  <c:v>247.27</c:v>
                </c:pt>
                <c:pt idx="76">
                  <c:v>253.95</c:v>
                </c:pt>
                <c:pt idx="77">
                  <c:v>260.67</c:v>
                </c:pt>
                <c:pt idx="78">
                  <c:v>267.43</c:v>
                </c:pt>
                <c:pt idx="79">
                  <c:v>274.25</c:v>
                </c:pt>
                <c:pt idx="80">
                  <c:v>281.10000000000002</c:v>
                </c:pt>
                <c:pt idx="81">
                  <c:v>288.01</c:v>
                </c:pt>
                <c:pt idx="82">
                  <c:v>294.95999999999998</c:v>
                </c:pt>
                <c:pt idx="83">
                  <c:v>301.95</c:v>
                </c:pt>
                <c:pt idx="84">
                  <c:v>308.99</c:v>
                </c:pt>
                <c:pt idx="85">
                  <c:v>316.07</c:v>
                </c:pt>
                <c:pt idx="86">
                  <c:v>323.2</c:v>
                </c:pt>
                <c:pt idx="87">
                  <c:v>330.38</c:v>
                </c:pt>
                <c:pt idx="88">
                  <c:v>337.6</c:v>
                </c:pt>
                <c:pt idx="89">
                  <c:v>344.87</c:v>
                </c:pt>
                <c:pt idx="90">
                  <c:v>352.18</c:v>
                </c:pt>
                <c:pt idx="91">
                  <c:v>359.53</c:v>
                </c:pt>
                <c:pt idx="92">
                  <c:v>366.94</c:v>
                </c:pt>
                <c:pt idx="93">
                  <c:v>374.38</c:v>
                </c:pt>
                <c:pt idx="94">
                  <c:v>381.88</c:v>
                </c:pt>
                <c:pt idx="95">
                  <c:v>389.42</c:v>
                </c:pt>
                <c:pt idx="96">
                  <c:v>397</c:v>
                </c:pt>
                <c:pt idx="97">
                  <c:v>404.63</c:v>
                </c:pt>
                <c:pt idx="98">
                  <c:v>412.3</c:v>
                </c:pt>
                <c:pt idx="99">
                  <c:v>420.02</c:v>
                </c:pt>
                <c:pt idx="100">
                  <c:v>427.79</c:v>
                </c:pt>
                <c:pt idx="101">
                  <c:v>435.6</c:v>
                </c:pt>
                <c:pt idx="102">
                  <c:v>443.46</c:v>
                </c:pt>
                <c:pt idx="103">
                  <c:v>451.36</c:v>
                </c:pt>
                <c:pt idx="104">
                  <c:v>459.3</c:v>
                </c:pt>
                <c:pt idx="105">
                  <c:v>467.3</c:v>
                </c:pt>
                <c:pt idx="106">
                  <c:v>475.34</c:v>
                </c:pt>
                <c:pt idx="107">
                  <c:v>483.42</c:v>
                </c:pt>
                <c:pt idx="108">
                  <c:v>491.55</c:v>
                </c:pt>
                <c:pt idx="109">
                  <c:v>499.72</c:v>
                </c:pt>
                <c:pt idx="110">
                  <c:v>507.94</c:v>
                </c:pt>
                <c:pt idx="111">
                  <c:v>516.20000000000005</c:v>
                </c:pt>
                <c:pt idx="112">
                  <c:v>524.51</c:v>
                </c:pt>
                <c:pt idx="113">
                  <c:v>532.87</c:v>
                </c:pt>
                <c:pt idx="114">
                  <c:v>541.27</c:v>
                </c:pt>
                <c:pt idx="115">
                  <c:v>549.72</c:v>
                </c:pt>
                <c:pt idx="116">
                  <c:v>558.21</c:v>
                </c:pt>
                <c:pt idx="117">
                  <c:v>566.75</c:v>
                </c:pt>
                <c:pt idx="118">
                  <c:v>575.33000000000004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7A-4D57-8047-28D68470C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344376"/>
        <c:axId val="597343984"/>
      </c:scatterChart>
      <c:valAx>
        <c:axId val="597344376"/>
        <c:scaling>
          <c:orientation val="minMax"/>
          <c:max val="5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Enthalpy, kJ/kg</a:t>
                </a:r>
              </a:p>
            </c:rich>
          </c:tx>
          <c:layout>
            <c:manualLayout>
              <c:xMode val="edge"/>
              <c:yMode val="edge"/>
              <c:x val="0.4550186741885624"/>
              <c:y val="0.944879908715279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343984"/>
        <c:crosses val="autoZero"/>
        <c:crossBetween val="midCat"/>
        <c:majorUnit val="50"/>
      </c:valAx>
      <c:valAx>
        <c:axId val="597343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MPa</a:t>
                </a:r>
              </a:p>
            </c:rich>
          </c:tx>
          <c:layout>
            <c:manualLayout>
              <c:xMode val="edge"/>
              <c:yMode val="edge"/>
              <c:x val="1.5177205107103077E-2"/>
              <c:y val="0.371653790378644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34437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Flow vs Head - 3575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4601771653543308"/>
                  <c:y val="-9.39304461942257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'Sunshot pump'!$G$13:$G$58</c:f>
              <c:numCache>
                <c:formatCode>General</c:formatCode>
                <c:ptCount val="46"/>
                <c:pt idx="0">
                  <c:v>2.5204969103552601</c:v>
                </c:pt>
                <c:pt idx="1">
                  <c:v>4.9052390564157697</c:v>
                </c:pt>
                <c:pt idx="2">
                  <c:v>7.2902264100920098</c:v>
                </c:pt>
                <c:pt idx="3">
                  <c:v>9.6752137637682498</c:v>
                </c:pt>
                <c:pt idx="4">
                  <c:v>12.0603645891883</c:v>
                </c:pt>
                <c:pt idx="5">
                  <c:v>14.4455644561315</c:v>
                </c:pt>
                <c:pt idx="6">
                  <c:v>16.830911447644102</c:v>
                </c:pt>
                <c:pt idx="7">
                  <c:v>19.2163892165518</c:v>
                </c:pt>
                <c:pt idx="8">
                  <c:v>21.6021121930753</c:v>
                </c:pt>
                <c:pt idx="9">
                  <c:v>23.987818822424298</c:v>
                </c:pt>
                <c:pt idx="10">
                  <c:v>26.3735908404709</c:v>
                </c:pt>
                <c:pt idx="11">
                  <c:v>28.7594119000407</c:v>
                </c:pt>
                <c:pt idx="12">
                  <c:v>31.145314695482298</c:v>
                </c:pt>
                <c:pt idx="13">
                  <c:v>33.531201143749598</c:v>
                </c:pt>
                <c:pt idx="14">
                  <c:v>35.9172347165863</c:v>
                </c:pt>
                <c:pt idx="15">
                  <c:v>38.303268289423002</c:v>
                </c:pt>
                <c:pt idx="16">
                  <c:v>40.689399945306</c:v>
                </c:pt>
                <c:pt idx="17">
                  <c:v>43.075498906840203</c:v>
                </c:pt>
                <c:pt idx="18">
                  <c:v>45.461597868374497</c:v>
                </c:pt>
                <c:pt idx="19">
                  <c:v>47.847729524257502</c:v>
                </c:pt>
                <c:pt idx="20">
                  <c:v>50.233926568838001</c:v>
                </c:pt>
                <c:pt idx="21">
                  <c:v>52.620156307767303</c:v>
                </c:pt>
                <c:pt idx="22">
                  <c:v>55.006353352347801</c:v>
                </c:pt>
                <c:pt idx="23">
                  <c:v>57.392713868672203</c:v>
                </c:pt>
                <c:pt idx="24">
                  <c:v>59.779008996298998</c:v>
                </c:pt>
                <c:pt idx="25">
                  <c:v>62.165255082402702</c:v>
                </c:pt>
                <c:pt idx="26">
                  <c:v>64.551599251552602</c:v>
                </c:pt>
                <c:pt idx="27">
                  <c:v>66.937976115051399</c:v>
                </c:pt>
                <c:pt idx="28">
                  <c:v>69.324451061596406</c:v>
                </c:pt>
                <c:pt idx="29">
                  <c:v>71.710909660967005</c:v>
                </c:pt>
                <c:pt idx="30">
                  <c:v>74.097466343383999</c:v>
                </c:pt>
                <c:pt idx="31">
                  <c:v>76.484072067324107</c:v>
                </c:pt>
                <c:pt idx="32">
                  <c:v>78.8708085686592</c:v>
                </c:pt>
                <c:pt idx="33">
                  <c:v>81.257528722819998</c:v>
                </c:pt>
                <c:pt idx="34">
                  <c:v>83.644363307201402</c:v>
                </c:pt>
                <c:pt idx="35">
                  <c:v>86.031328668977906</c:v>
                </c:pt>
                <c:pt idx="36">
                  <c:v>88.418343072277594</c:v>
                </c:pt>
                <c:pt idx="37">
                  <c:v>90.805569988844198</c:v>
                </c:pt>
                <c:pt idx="38">
                  <c:v>93.1927151695389</c:v>
                </c:pt>
                <c:pt idx="39">
                  <c:v>95.580187293721195</c:v>
                </c:pt>
                <c:pt idx="40">
                  <c:v>97.967806542472999</c:v>
                </c:pt>
                <c:pt idx="41">
                  <c:v>100.355589262968</c:v>
                </c:pt>
                <c:pt idx="42">
                  <c:v>102.743535455208</c:v>
                </c:pt>
                <c:pt idx="43">
                  <c:v>105.131710507888</c:v>
                </c:pt>
                <c:pt idx="44">
                  <c:v>107.520081726662</c:v>
                </c:pt>
                <c:pt idx="45">
                  <c:v>109.03995481579599</c:v>
                </c:pt>
              </c:numCache>
            </c:numRef>
          </c:xVal>
          <c:yVal>
            <c:numRef>
              <c:f>'Sunshot pump'!$H$13:$H$58</c:f>
              <c:numCache>
                <c:formatCode>General</c:formatCode>
                <c:ptCount val="46"/>
                <c:pt idx="0">
                  <c:v>2065.7463809258002</c:v>
                </c:pt>
                <c:pt idx="1">
                  <c:v>2075.9949446834098</c:v>
                </c:pt>
                <c:pt idx="2">
                  <c:v>2082.8273205218202</c:v>
                </c:pt>
                <c:pt idx="3">
                  <c:v>2089.6596963602301</c:v>
                </c:pt>
                <c:pt idx="4">
                  <c:v>2094.2146135858402</c:v>
                </c:pt>
                <c:pt idx="5">
                  <c:v>2098.0862932276</c:v>
                </c:pt>
                <c:pt idx="6">
                  <c:v>2099.9082601178502</c:v>
                </c:pt>
                <c:pt idx="7">
                  <c:v>2099.9082601178502</c:v>
                </c:pt>
                <c:pt idx="8">
                  <c:v>2096.49207219864</c:v>
                </c:pt>
                <c:pt idx="9">
                  <c:v>2093.3036301407201</c:v>
                </c:pt>
                <c:pt idx="10">
                  <c:v>2089.20420463767</c:v>
                </c:pt>
                <c:pt idx="11">
                  <c:v>2084.4215415507801</c:v>
                </c:pt>
                <c:pt idx="12">
                  <c:v>2078.5001491574999</c:v>
                </c:pt>
                <c:pt idx="13">
                  <c:v>2072.8065026254899</c:v>
                </c:pt>
                <c:pt idx="14">
                  <c:v>2065.0631433419599</c:v>
                </c:pt>
                <c:pt idx="15">
                  <c:v>2057.3197840584298</c:v>
                </c:pt>
                <c:pt idx="16">
                  <c:v>2048.2099496072101</c:v>
                </c:pt>
                <c:pt idx="17">
                  <c:v>2039.55560687856</c:v>
                </c:pt>
                <c:pt idx="18">
                  <c:v>2030.90126414991</c:v>
                </c:pt>
                <c:pt idx="19">
                  <c:v>2021.7914296987001</c:v>
                </c:pt>
                <c:pt idx="20">
                  <c:v>2011.77061180236</c:v>
                </c:pt>
                <c:pt idx="21">
                  <c:v>2001.2943021834701</c:v>
                </c:pt>
                <c:pt idx="22">
                  <c:v>1991.27348428713</c:v>
                </c:pt>
                <c:pt idx="23">
                  <c:v>1978.9752077779999</c:v>
                </c:pt>
                <c:pt idx="24">
                  <c:v>1967.5879147139799</c:v>
                </c:pt>
                <c:pt idx="25">
                  <c:v>1956.88385923381</c:v>
                </c:pt>
                <c:pt idx="26">
                  <c:v>1944.8133285859501</c:v>
                </c:pt>
                <c:pt idx="27">
                  <c:v>1932.28730621553</c:v>
                </c:pt>
                <c:pt idx="28">
                  <c:v>1918.3948086774301</c:v>
                </c:pt>
                <c:pt idx="29">
                  <c:v>1904.73005700061</c:v>
                </c:pt>
                <c:pt idx="30">
                  <c:v>1889.69883015611</c:v>
                </c:pt>
                <c:pt idx="31">
                  <c:v>1873.98436572777</c:v>
                </c:pt>
                <c:pt idx="32">
                  <c:v>1856.4479344091901</c:v>
                </c:pt>
                <c:pt idx="33">
                  <c:v>1839.1392489518801</c:v>
                </c:pt>
                <c:pt idx="34">
                  <c:v>1820.2363424656201</c:v>
                </c:pt>
                <c:pt idx="35">
                  <c:v>1799.5114690891101</c:v>
                </c:pt>
                <c:pt idx="36">
                  <c:v>1778.10335812876</c:v>
                </c:pt>
                <c:pt idx="37">
                  <c:v>1753.73455097176</c:v>
                </c:pt>
                <c:pt idx="38">
                  <c:v>1730.5044731211699</c:v>
                </c:pt>
                <c:pt idx="39">
                  <c:v>1702.7194780449699</c:v>
                </c:pt>
                <c:pt idx="40">
                  <c:v>1672.88477021725</c:v>
                </c:pt>
                <c:pt idx="41">
                  <c:v>1640.77260377673</c:v>
                </c:pt>
                <c:pt idx="42">
                  <c:v>1606.3829787233999</c:v>
                </c:pt>
                <c:pt idx="43">
                  <c:v>1568.8049116121499</c:v>
                </c:pt>
                <c:pt idx="44">
                  <c:v>1528.49389416553</c:v>
                </c:pt>
                <c:pt idx="45">
                  <c:v>1502.83452712795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6-469E-8206-FCDBBBC08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58527"/>
        <c:axId val="424289951"/>
      </c:scatterChart>
      <c:valAx>
        <c:axId val="45355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89951"/>
        <c:crosses val="autoZero"/>
        <c:crossBetween val="midCat"/>
      </c:valAx>
      <c:valAx>
        <c:axId val="42428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58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Flow vs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6976685034729238E-2"/>
                  <c:y val="0.26183428290975824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'Sunshot pump'!$N$18:$N$65</c:f>
              <c:numCache>
                <c:formatCode>General</c:formatCode>
                <c:ptCount val="48"/>
                <c:pt idx="0">
                  <c:v>2.67169250191139</c:v>
                </c:pt>
                <c:pt idx="1">
                  <c:v>4.1912753897087898</c:v>
                </c:pt>
                <c:pt idx="2">
                  <c:v>5.7106022356372801</c:v>
                </c:pt>
                <c:pt idx="3">
                  <c:v>7.3383020031055297</c:v>
                </c:pt>
                <c:pt idx="4">
                  <c:v>9.0744963120012798</c:v>
                </c:pt>
                <c:pt idx="5">
                  <c:v>10.8104441805982</c:v>
                </c:pt>
                <c:pt idx="6">
                  <c:v>12.654773505463799</c:v>
                </c:pt>
                <c:pt idx="7">
                  <c:v>14.607277675034499</c:v>
                </c:pt>
                <c:pt idx="8">
                  <c:v>16.559582700929401</c:v>
                </c:pt>
                <c:pt idx="9">
                  <c:v>18.728648376365399</c:v>
                </c:pt>
                <c:pt idx="10">
                  <c:v>21.114174175431799</c:v>
                </c:pt>
                <c:pt idx="11">
                  <c:v>23.499585919483899</c:v>
                </c:pt>
                <c:pt idx="12">
                  <c:v>25.8847369663603</c:v>
                </c:pt>
                <c:pt idx="13">
                  <c:v>28.269643609634599</c:v>
                </c:pt>
                <c:pt idx="14">
                  <c:v>30.654387317174201</c:v>
                </c:pt>
                <c:pt idx="15">
                  <c:v>33.038919208258498</c:v>
                </c:pt>
                <c:pt idx="16">
                  <c:v>35.423320750755003</c:v>
                </c:pt>
                <c:pt idx="17">
                  <c:v>37.807591944663798</c:v>
                </c:pt>
                <c:pt idx="18">
                  <c:v>40.191716496411203</c:v>
                </c:pt>
                <c:pt idx="19">
                  <c:v>42.575515176689102</c:v>
                </c:pt>
                <c:pt idx="20">
                  <c:v>44.959346444113997</c:v>
                </c:pt>
                <c:pt idx="21">
                  <c:v>47.193214794644099</c:v>
                </c:pt>
                <c:pt idx="22">
                  <c:v>49.726478894706702</c:v>
                </c:pt>
                <c:pt idx="23">
                  <c:v>54.493205092200697</c:v>
                </c:pt>
                <c:pt idx="24">
                  <c:v>56.876368323112999</c:v>
                </c:pt>
                <c:pt idx="25">
                  <c:v>59.259352324717099</c:v>
                </c:pt>
                <c:pt idx="26">
                  <c:v>61.642140803439503</c:v>
                </c:pt>
                <c:pt idx="27">
                  <c:v>64.025108511470194</c:v>
                </c:pt>
                <c:pt idx="28">
                  <c:v>66.407848109472098</c:v>
                </c:pt>
                <c:pt idx="29">
                  <c:v>68.790408478165901</c:v>
                </c:pt>
                <c:pt idx="30">
                  <c:v>71.172952553286095</c:v>
                </c:pt>
                <c:pt idx="31">
                  <c:v>73.555333692671596</c:v>
                </c:pt>
                <c:pt idx="32">
                  <c:v>75.937649657763203</c:v>
                </c:pt>
                <c:pt idx="33">
                  <c:v>78.319851567840502</c:v>
                </c:pt>
                <c:pt idx="34">
                  <c:v>80.701923129329899</c:v>
                </c:pt>
                <c:pt idx="35">
                  <c:v>83.083880635805002</c:v>
                </c:pt>
                <c:pt idx="36">
                  <c:v>85.465740380839307</c:v>
                </c:pt>
                <c:pt idx="37">
                  <c:v>87.8475023644327</c:v>
                </c:pt>
                <c:pt idx="38">
                  <c:v>90.2291014122913</c:v>
                </c:pt>
                <c:pt idx="39">
                  <c:v>92.610602698709101</c:v>
                </c:pt>
                <c:pt idx="40">
                  <c:v>94.992006223686005</c:v>
                </c:pt>
                <c:pt idx="41">
                  <c:v>97.373149051487403</c:v>
                </c:pt>
                <c:pt idx="42">
                  <c:v>99.754194117847803</c:v>
                </c:pt>
                <c:pt idx="43">
                  <c:v>102.135027367753</c:v>
                </c:pt>
                <c:pt idx="44">
                  <c:v>104.515616214056</c:v>
                </c:pt>
                <c:pt idx="45">
                  <c:v>106.89607471177101</c:v>
                </c:pt>
                <c:pt idx="46">
                  <c:v>109.276337686605</c:v>
                </c:pt>
                <c:pt idx="47">
                  <c:v>110.574674795476</c:v>
                </c:pt>
              </c:numCache>
            </c:numRef>
          </c:xVal>
          <c:yVal>
            <c:numRef>
              <c:f>'Sunshot pump'!$O$18:$O$65</c:f>
              <c:numCache>
                <c:formatCode>General</c:formatCode>
                <c:ptCount val="48"/>
                <c:pt idx="0">
                  <c:v>4.0558661392783204</c:v>
                </c:pt>
                <c:pt idx="1">
                  <c:v>6.3019585194960799</c:v>
                </c:pt>
                <c:pt idx="2">
                  <c:v>8.4051329837946405</c:v>
                </c:pt>
                <c:pt idx="3">
                  <c:v>10.574569919940499</c:v>
                </c:pt>
                <c:pt idx="4">
                  <c:v>12.8781553379955</c:v>
                </c:pt>
                <c:pt idx="5">
                  <c:v>15.0441822619782</c:v>
                </c:pt>
                <c:pt idx="6">
                  <c:v>17.281235588339001</c:v>
                </c:pt>
                <c:pt idx="7">
                  <c:v>19.473988498815199</c:v>
                </c:pt>
                <c:pt idx="8">
                  <c:v>21.555583030243199</c:v>
                </c:pt>
                <c:pt idx="9">
                  <c:v>23.777967203028901</c:v>
                </c:pt>
                <c:pt idx="10">
                  <c:v>25.973392917881402</c:v>
                </c:pt>
                <c:pt idx="11">
                  <c:v>28.1051551974608</c:v>
                </c:pt>
                <c:pt idx="12">
                  <c:v>30.091401053558901</c:v>
                </c:pt>
                <c:pt idx="13">
                  <c:v>31.941225262643201</c:v>
                </c:pt>
                <c:pt idx="14">
                  <c:v>33.700101707051701</c:v>
                </c:pt>
                <c:pt idx="15">
                  <c:v>35.340746057381502</c:v>
                </c:pt>
                <c:pt idx="16">
                  <c:v>36.908632195970704</c:v>
                </c:pt>
                <c:pt idx="17">
                  <c:v>38.4037601228193</c:v>
                </c:pt>
                <c:pt idx="18">
                  <c:v>39.817035061459499</c:v>
                </c:pt>
                <c:pt idx="19">
                  <c:v>41.048414470748199</c:v>
                </c:pt>
                <c:pt idx="20">
                  <c:v>42.297983432971897</c:v>
                </c:pt>
                <c:pt idx="21">
                  <c:v>43.507099895956301</c:v>
                </c:pt>
                <c:pt idx="22">
                  <c:v>44.501237963007398</c:v>
                </c:pt>
                <c:pt idx="23">
                  <c:v>46.477729399784401</c:v>
                </c:pt>
                <c:pt idx="24">
                  <c:v>47.354412526837201</c:v>
                </c:pt>
                <c:pt idx="25">
                  <c:v>48.131053112746599</c:v>
                </c:pt>
                <c:pt idx="26">
                  <c:v>48.798556381045003</c:v>
                </c:pt>
                <c:pt idx="27">
                  <c:v>49.566102190486802</c:v>
                </c:pt>
                <c:pt idx="28">
                  <c:v>50.206321129382403</c:v>
                </c:pt>
                <c:pt idx="29">
                  <c:v>50.746497527134601</c:v>
                </c:pt>
                <c:pt idx="30">
                  <c:v>51.2775791484192</c:v>
                </c:pt>
                <c:pt idx="31">
                  <c:v>51.717713005028003</c:v>
                </c:pt>
                <c:pt idx="32">
                  <c:v>52.121467755766503</c:v>
                </c:pt>
                <c:pt idx="33">
                  <c:v>52.461559071231797</c:v>
                </c:pt>
                <c:pt idx="34">
                  <c:v>52.728892174956499</c:v>
                </c:pt>
                <c:pt idx="35">
                  <c:v>52.932561843408102</c:v>
                </c:pt>
                <c:pt idx="36">
                  <c:v>53.081662853054198</c:v>
                </c:pt>
                <c:pt idx="37">
                  <c:v>53.1761952038948</c:v>
                </c:pt>
                <c:pt idx="38">
                  <c:v>53.179779790059598</c:v>
                </c:pt>
                <c:pt idx="39">
                  <c:v>53.128795717418797</c:v>
                </c:pt>
                <c:pt idx="40">
                  <c:v>53.023242985972502</c:v>
                </c:pt>
                <c:pt idx="41">
                  <c:v>52.772173831044903</c:v>
                </c:pt>
                <c:pt idx="42">
                  <c:v>52.466536017311803</c:v>
                </c:pt>
                <c:pt idx="43">
                  <c:v>52.042666109500097</c:v>
                </c:pt>
                <c:pt idx="44">
                  <c:v>51.482374554674699</c:v>
                </c:pt>
                <c:pt idx="45">
                  <c:v>50.849324788108497</c:v>
                </c:pt>
                <c:pt idx="46">
                  <c:v>50.1071377039314</c:v>
                </c:pt>
                <c:pt idx="47">
                  <c:v>49.708922768174801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A-4C8E-BBC2-71A1678B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046271"/>
        <c:axId val="2095978511"/>
      </c:scatterChart>
      <c:valAx>
        <c:axId val="698046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978511"/>
        <c:crosses val="autoZero"/>
        <c:crossBetween val="midCat"/>
      </c:valAx>
      <c:valAx>
        <c:axId val="209597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46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Flow vs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6985258092738409"/>
                  <c:y val="2.28207932341790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'Sunshot pump'!$Q$18:$Q$52</c:f>
              <c:numCache>
                <c:formatCode>General</c:formatCode>
                <c:ptCount val="35"/>
                <c:pt idx="0">
                  <c:v>30.2535611970292</c:v>
                </c:pt>
                <c:pt idx="1">
                  <c:v>32.6376361600325</c:v>
                </c:pt>
                <c:pt idx="2">
                  <c:v>35.0217111230359</c:v>
                </c:pt>
                <c:pt idx="3">
                  <c:v>37.405459399736898</c:v>
                </c:pt>
                <c:pt idx="4">
                  <c:v>39.788880990135503</c:v>
                </c:pt>
                <c:pt idx="5">
                  <c:v>42.172547595260902</c:v>
                </c:pt>
                <c:pt idx="6">
                  <c:v>44.556949244566603</c:v>
                </c:pt>
                <c:pt idx="7">
                  <c:v>46.940860864418802</c:v>
                </c:pt>
                <c:pt idx="8">
                  <c:v>49.324527469544201</c:v>
                </c:pt>
                <c:pt idx="9">
                  <c:v>51.708030731518399</c:v>
                </c:pt>
                <c:pt idx="10">
                  <c:v>54.091615665068304</c:v>
                </c:pt>
                <c:pt idx="11">
                  <c:v>56.475935642798397</c:v>
                </c:pt>
                <c:pt idx="12">
                  <c:v>58.859765591075003</c:v>
                </c:pt>
                <c:pt idx="13">
                  <c:v>61.243350524624802</c:v>
                </c:pt>
                <c:pt idx="14">
                  <c:v>63.554341678212801</c:v>
                </c:pt>
                <c:pt idx="15">
                  <c:v>66.010683734875599</c:v>
                </c:pt>
                <c:pt idx="16">
                  <c:v>68.394840369454499</c:v>
                </c:pt>
                <c:pt idx="17">
                  <c:v>70.778833660882299</c:v>
                </c:pt>
                <c:pt idx="18">
                  <c:v>73.162336922856497</c:v>
                </c:pt>
                <c:pt idx="19">
                  <c:v>75.546003527981995</c:v>
                </c:pt>
                <c:pt idx="20">
                  <c:v>77.929588461531793</c:v>
                </c:pt>
                <c:pt idx="21">
                  <c:v>80.313826767686294</c:v>
                </c:pt>
                <c:pt idx="22">
                  <c:v>82.697411701236106</c:v>
                </c:pt>
                <c:pt idx="23">
                  <c:v>85.080996634785905</c:v>
                </c:pt>
                <c:pt idx="24">
                  <c:v>87.464254882033401</c:v>
                </c:pt>
                <c:pt idx="25">
                  <c:v>89.8478398155832</c:v>
                </c:pt>
                <c:pt idx="26">
                  <c:v>92.231833107010999</c:v>
                </c:pt>
                <c:pt idx="27">
                  <c:v>94.615418040560797</c:v>
                </c:pt>
                <c:pt idx="28">
                  <c:v>96.998512944657094</c:v>
                </c:pt>
                <c:pt idx="29">
                  <c:v>99.382179549782506</c:v>
                </c:pt>
                <c:pt idx="30">
                  <c:v>101.76527445387801</c:v>
                </c:pt>
                <c:pt idx="31">
                  <c:v>104.148696044277</c:v>
                </c:pt>
                <c:pt idx="32">
                  <c:v>106.531954291524</c:v>
                </c:pt>
                <c:pt idx="33">
                  <c:v>108.915375881923</c:v>
                </c:pt>
                <c:pt idx="34">
                  <c:v>110.32335300928101</c:v>
                </c:pt>
              </c:numCache>
            </c:numRef>
          </c:xVal>
          <c:yVal>
            <c:numRef>
              <c:f>'Sunshot pump'!$R$18:$R$52</c:f>
              <c:numCache>
                <c:formatCode>General</c:formatCode>
                <c:ptCount val="35"/>
                <c:pt idx="0">
                  <c:v>506.13041382024898</c:v>
                </c:pt>
                <c:pt idx="1">
                  <c:v>519.98636785326903</c:v>
                </c:pt>
                <c:pt idx="2">
                  <c:v>533.84232188628903</c:v>
                </c:pt>
                <c:pt idx="3">
                  <c:v>545.87477237708094</c:v>
                </c:pt>
                <c:pt idx="4">
                  <c:v>556.08371932564</c:v>
                </c:pt>
                <c:pt idx="5">
                  <c:v>567.66029393087399</c:v>
                </c:pt>
                <c:pt idx="6">
                  <c:v>583.33975150612298</c:v>
                </c:pt>
                <c:pt idx="7">
                  <c:v>596.28395376802803</c:v>
                </c:pt>
                <c:pt idx="8">
                  <c:v>607.86052837326099</c:v>
                </c:pt>
                <c:pt idx="9">
                  <c:v>618.525351207379</c:v>
                </c:pt>
                <c:pt idx="10">
                  <c:v>629.64604992705404</c:v>
                </c:pt>
                <c:pt idx="11">
                  <c:v>644.86963161674703</c:v>
                </c:pt>
                <c:pt idx="12">
                  <c:v>657.35795799309403</c:v>
                </c:pt>
                <c:pt idx="13">
                  <c:v>668.47865671276895</c:v>
                </c:pt>
                <c:pt idx="14">
                  <c:v>677.23095398726502</c:v>
                </c:pt>
                <c:pt idx="15">
                  <c:v>691.63180592323397</c:v>
                </c:pt>
                <c:pt idx="16">
                  <c:v>705.94363584181303</c:v>
                </c:pt>
                <c:pt idx="17">
                  <c:v>719.34371398927397</c:v>
                </c:pt>
                <c:pt idx="18">
                  <c:v>730.008536823393</c:v>
                </c:pt>
                <c:pt idx="19">
                  <c:v>741.58511142862596</c:v>
                </c:pt>
                <c:pt idx="20">
                  <c:v>752.70581014829895</c:v>
                </c:pt>
                <c:pt idx="21">
                  <c:v>767.47351595243595</c:v>
                </c:pt>
                <c:pt idx="22">
                  <c:v>778.59421467211098</c:v>
                </c:pt>
                <c:pt idx="23">
                  <c:v>789.71491339178499</c:v>
                </c:pt>
                <c:pt idx="24">
                  <c:v>799.01210856923001</c:v>
                </c:pt>
                <c:pt idx="25">
                  <c:v>810.13280728890595</c:v>
                </c:pt>
                <c:pt idx="26">
                  <c:v>823.53288543636802</c:v>
                </c:pt>
                <c:pt idx="27">
                  <c:v>834.65358415604396</c:v>
                </c:pt>
                <c:pt idx="28">
                  <c:v>843.03902756237403</c:v>
                </c:pt>
                <c:pt idx="29">
                  <c:v>854.61560216760597</c:v>
                </c:pt>
                <c:pt idx="30">
                  <c:v>863.00104557393604</c:v>
                </c:pt>
                <c:pt idx="31">
                  <c:v>873.20999252249703</c:v>
                </c:pt>
                <c:pt idx="32">
                  <c:v>882.50718769994103</c:v>
                </c:pt>
                <c:pt idx="33">
                  <c:v>892.716134648501</c:v>
                </c:pt>
                <c:pt idx="34">
                  <c:v>896.46931478122599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9-42DA-85E6-B12FA1C54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31615"/>
        <c:axId val="2092566719"/>
      </c:scatterChart>
      <c:valAx>
        <c:axId val="479031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566719"/>
        <c:crosses val="autoZero"/>
        <c:crossBetween val="midCat"/>
      </c:valAx>
      <c:valAx>
        <c:axId val="209256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Flow vs Head - 3000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4601771653543308"/>
                  <c:y val="-9.39304461942257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'Sunshot pump'!$C$13:$C$24</c:f>
              <c:numCache>
                <c:formatCode>General</c:formatCode>
                <c:ptCount val="12"/>
                <c:pt idx="0">
                  <c:v>0</c:v>
                </c:pt>
                <c:pt idx="1">
                  <c:v>8.5544599494713296</c:v>
                </c:pt>
                <c:pt idx="2">
                  <c:v>17.108919898942659</c:v>
                </c:pt>
                <c:pt idx="3">
                  <c:v>25.663379848413985</c:v>
                </c:pt>
                <c:pt idx="4">
                  <c:v>34.217839797885318</c:v>
                </c:pt>
                <c:pt idx="5">
                  <c:v>42.772299747356648</c:v>
                </c:pt>
                <c:pt idx="6">
                  <c:v>51.32675969682797</c:v>
                </c:pt>
                <c:pt idx="7">
                  <c:v>59.881219646299307</c:v>
                </c:pt>
                <c:pt idx="8">
                  <c:v>68.435679595770637</c:v>
                </c:pt>
                <c:pt idx="9">
                  <c:v>76.990139545241973</c:v>
                </c:pt>
                <c:pt idx="10">
                  <c:v>85.544599494713296</c:v>
                </c:pt>
                <c:pt idx="11">
                  <c:v>94.099059444184633</c:v>
                </c:pt>
              </c:numCache>
            </c:numRef>
          </c:xVal>
          <c:yVal>
            <c:numRef>
              <c:f>'Sunshot pump'!$D$13:$D$24</c:f>
              <c:numCache>
                <c:formatCode>General</c:formatCode>
                <c:ptCount val="12"/>
                <c:pt idx="0">
                  <c:v>1446.6130850408333</c:v>
                </c:pt>
                <c:pt idx="1">
                  <c:v>1474.2154534696069</c:v>
                </c:pt>
                <c:pt idx="2">
                  <c:v>1477.9501440657243</c:v>
                </c:pt>
                <c:pt idx="3">
                  <c:v>1468.0338966208617</c:v>
                </c:pt>
                <c:pt idx="4">
                  <c:v>1440.9895854075996</c:v>
                </c:pt>
                <c:pt idx="5">
                  <c:v>1417.4653273998729</c:v>
                </c:pt>
                <c:pt idx="6">
                  <c:v>1387.051209154482</c:v>
                </c:pt>
                <c:pt idx="7">
                  <c:v>1349.8545493667173</c:v>
                </c:pt>
                <c:pt idx="8">
                  <c:v>1302.3982223091593</c:v>
                </c:pt>
                <c:pt idx="9">
                  <c:v>1241.2694934715635</c:v>
                </c:pt>
                <c:pt idx="10">
                  <c:v>1159.6643575724972</c:v>
                </c:pt>
                <c:pt idx="11">
                  <c:v>1054.2344713188909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19-4B35-A549-E6D2C478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58527"/>
        <c:axId val="424289951"/>
      </c:scatterChart>
      <c:valAx>
        <c:axId val="45355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89951"/>
        <c:crosses val="autoZero"/>
        <c:crossBetween val="midCat"/>
      </c:valAx>
      <c:valAx>
        <c:axId val="42428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58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Pump</a:t>
            </a:r>
            <a:r>
              <a:rPr lang="en-US" baseline="0"/>
              <a:t> Characteristic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8.2644813010304935E-2"/>
                  <c:y val="7.90158570898859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'Sunshot pump'!$K$13:$K$58</c:f>
              <c:numCache>
                <c:formatCode>General</c:formatCode>
                <c:ptCount val="46"/>
                <c:pt idx="0">
                  <c:v>1.7625852519966854</c:v>
                </c:pt>
                <c:pt idx="1">
                  <c:v>3.43023710238865</c:v>
                </c:pt>
                <c:pt idx="2">
                  <c:v>5.0980604266377689</c:v>
                </c:pt>
                <c:pt idx="3">
                  <c:v>6.7658837508868874</c:v>
                </c:pt>
                <c:pt idx="4">
                  <c:v>8.4338213910407696</c:v>
                </c:pt>
                <c:pt idx="5">
                  <c:v>10.101793325966083</c:v>
                </c:pt>
                <c:pt idx="6">
                  <c:v>11.769868145205665</c:v>
                </c:pt>
                <c:pt idx="7">
                  <c:v>13.43803441716909</c:v>
                </c:pt>
                <c:pt idx="8">
                  <c:v>15.10637216298972</c:v>
                </c:pt>
                <c:pt idx="9">
                  <c:v>16.77469847721979</c:v>
                </c:pt>
                <c:pt idx="10">
                  <c:v>18.443070517811819</c:v>
                </c:pt>
                <c:pt idx="11">
                  <c:v>20.111476853175315</c:v>
                </c:pt>
                <c:pt idx="12">
                  <c:v>21.779940346491117</c:v>
                </c:pt>
                <c:pt idx="13">
                  <c:v>23.448392408216503</c:v>
                </c:pt>
                <c:pt idx="14">
                  <c:v>25.116947354256151</c:v>
                </c:pt>
                <c:pt idx="15">
                  <c:v>26.785502300295803</c:v>
                </c:pt>
                <c:pt idx="16">
                  <c:v>28.454125835878322</c:v>
                </c:pt>
                <c:pt idx="17">
                  <c:v>30.122726508279861</c:v>
                </c:pt>
                <c:pt idx="18">
                  <c:v>31.791327180681463</c:v>
                </c:pt>
                <c:pt idx="19">
                  <c:v>33.45995071626399</c:v>
                </c:pt>
                <c:pt idx="20">
                  <c:v>35.128619978208391</c:v>
                </c:pt>
                <c:pt idx="21">
                  <c:v>36.797312103333773</c:v>
                </c:pt>
                <c:pt idx="22">
                  <c:v>38.465981365278182</c:v>
                </c:pt>
                <c:pt idx="23">
                  <c:v>40.134764943127415</c:v>
                </c:pt>
                <c:pt idx="24">
                  <c:v>41.80350279461468</c:v>
                </c:pt>
                <c:pt idx="25">
                  <c:v>43.472206351330556</c:v>
                </c:pt>
                <c:pt idx="26">
                  <c:v>45.140978497589231</c:v>
                </c:pt>
                <c:pt idx="27">
                  <c:v>46.80977350702895</c:v>
                </c:pt>
                <c:pt idx="28">
                  <c:v>48.478637106011469</c:v>
                </c:pt>
                <c:pt idx="29">
                  <c:v>50.147489273403501</c:v>
                </c:pt>
                <c:pt idx="30">
                  <c:v>51.81641003033846</c:v>
                </c:pt>
                <c:pt idx="31">
                  <c:v>53.485365082044829</c:v>
                </c:pt>
                <c:pt idx="32">
                  <c:v>55.154411586474964</c:v>
                </c:pt>
                <c:pt idx="33">
                  <c:v>56.823446659314683</c:v>
                </c:pt>
                <c:pt idx="34">
                  <c:v>58.492561753287688</c:v>
                </c:pt>
                <c:pt idx="35">
                  <c:v>60.161768299984544</c:v>
                </c:pt>
                <c:pt idx="36">
                  <c:v>61.83100914145286</c:v>
                </c:pt>
                <c:pt idx="37">
                  <c:v>63.500398593597339</c:v>
                </c:pt>
                <c:pt idx="38">
                  <c:v>65.169730887789441</c:v>
                </c:pt>
                <c:pt idx="39">
                  <c:v>66.839291813791036</c:v>
                </c:pt>
                <c:pt idx="40">
                  <c:v>68.508955624106989</c:v>
                </c:pt>
                <c:pt idx="41">
                  <c:v>70.178733750327268</c:v>
                </c:pt>
                <c:pt idx="42">
                  <c:v>71.848626192453153</c:v>
                </c:pt>
                <c:pt idx="43">
                  <c:v>73.518678676844758</c:v>
                </c:pt>
                <c:pt idx="44">
                  <c:v>75.188868340323069</c:v>
                </c:pt>
                <c:pt idx="45">
                  <c:v>76.251716654402784</c:v>
                </c:pt>
              </c:numCache>
            </c:numRef>
          </c:xVal>
          <c:yVal>
            <c:numRef>
              <c:f>'Sunshot pump'!$L$13:$L$58</c:f>
              <c:numCache>
                <c:formatCode>General</c:formatCode>
                <c:ptCount val="46"/>
                <c:pt idx="0">
                  <c:v>1010.1943278037069</c:v>
                </c:pt>
                <c:pt idx="1">
                  <c:v>1015.2060954977798</c:v>
                </c:pt>
                <c:pt idx="2">
                  <c:v>1018.5472739604969</c:v>
                </c:pt>
                <c:pt idx="3">
                  <c:v>1021.8884524232139</c:v>
                </c:pt>
                <c:pt idx="4">
                  <c:v>1024.1159047316935</c:v>
                </c:pt>
                <c:pt idx="5">
                  <c:v>1026.009239193897</c:v>
                </c:pt>
                <c:pt idx="6">
                  <c:v>1026.9002201172921</c:v>
                </c:pt>
                <c:pt idx="7">
                  <c:v>1026.9002201172921</c:v>
                </c:pt>
                <c:pt idx="8">
                  <c:v>1025.2296308859309</c:v>
                </c:pt>
                <c:pt idx="9">
                  <c:v>1023.6704142699987</c:v>
                </c:pt>
                <c:pt idx="10">
                  <c:v>1021.6657071923663</c:v>
                </c:pt>
                <c:pt idx="11">
                  <c:v>1019.326882268463</c:v>
                </c:pt>
                <c:pt idx="12">
                  <c:v>1016.4311942674458</c:v>
                </c:pt>
                <c:pt idx="13">
                  <c:v>1013.6468788818474</c:v>
                </c:pt>
                <c:pt idx="14">
                  <c:v>1009.8602099574355</c:v>
                </c:pt>
                <c:pt idx="15">
                  <c:v>1006.0735410330235</c:v>
                </c:pt>
                <c:pt idx="16">
                  <c:v>1001.6186364160644</c:v>
                </c:pt>
                <c:pt idx="17">
                  <c:v>997.3864770299574</c:v>
                </c:pt>
                <c:pt idx="18">
                  <c:v>993.1543176438505</c:v>
                </c:pt>
                <c:pt idx="19">
                  <c:v>988.6994130268962</c:v>
                </c:pt>
                <c:pt idx="20">
                  <c:v>983.79901794824195</c:v>
                </c:pt>
                <c:pt idx="21">
                  <c:v>978.67587763874519</c:v>
                </c:pt>
                <c:pt idx="22">
                  <c:v>973.77548256009106</c:v>
                </c:pt>
                <c:pt idx="23">
                  <c:v>967.76136132720421</c:v>
                </c:pt>
                <c:pt idx="24">
                  <c:v>962.19273055600752</c:v>
                </c:pt>
                <c:pt idx="25">
                  <c:v>956.95821763108711</c:v>
                </c:pt>
                <c:pt idx="26">
                  <c:v>951.05546901361924</c:v>
                </c:pt>
                <c:pt idx="27">
                  <c:v>944.92997516530397</c:v>
                </c:pt>
                <c:pt idx="28">
                  <c:v>938.13624562444625</c:v>
                </c:pt>
                <c:pt idx="29">
                  <c:v>931.45388869901217</c:v>
                </c:pt>
                <c:pt idx="30">
                  <c:v>924.10329608103575</c:v>
                </c:pt>
                <c:pt idx="31">
                  <c:v>916.41858561678816</c:v>
                </c:pt>
                <c:pt idx="32">
                  <c:v>907.8428942291506</c:v>
                </c:pt>
                <c:pt idx="33">
                  <c:v>899.37857545693203</c:v>
                </c:pt>
                <c:pt idx="34">
                  <c:v>890.13464837675201</c:v>
                </c:pt>
                <c:pt idx="35">
                  <c:v>879.99974037317725</c:v>
                </c:pt>
                <c:pt idx="36">
                  <c:v>869.5307145233312</c:v>
                </c:pt>
                <c:pt idx="37">
                  <c:v>857.61384467297171</c:v>
                </c:pt>
                <c:pt idx="38">
                  <c:v>846.25383789973591</c:v>
                </c:pt>
                <c:pt idx="39">
                  <c:v>832.66637881802046</c:v>
                </c:pt>
                <c:pt idx="40">
                  <c:v>818.07656619749139</c:v>
                </c:pt>
                <c:pt idx="41">
                  <c:v>802.37302742272482</c:v>
                </c:pt>
                <c:pt idx="42">
                  <c:v>785.55576249371609</c:v>
                </c:pt>
                <c:pt idx="43">
                  <c:v>767.17928094877493</c:v>
                </c:pt>
                <c:pt idx="44">
                  <c:v>747.46632801874421</c:v>
                </c:pt>
                <c:pt idx="45">
                  <c:v>734.91834668098682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33-4066-BC86-12436D839662}"/>
            </c:ext>
          </c:extLst>
        </c:ser>
        <c:ser>
          <c:idx val="1"/>
          <c:order val="1"/>
          <c:tx>
            <c:v>3575 rpm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'Sunshot pump'!$G$13:$G$58</c:f>
              <c:numCache>
                <c:formatCode>General</c:formatCode>
                <c:ptCount val="46"/>
                <c:pt idx="0">
                  <c:v>2.5204969103552601</c:v>
                </c:pt>
                <c:pt idx="1">
                  <c:v>4.9052390564157697</c:v>
                </c:pt>
                <c:pt idx="2">
                  <c:v>7.2902264100920098</c:v>
                </c:pt>
                <c:pt idx="3">
                  <c:v>9.6752137637682498</c:v>
                </c:pt>
                <c:pt idx="4">
                  <c:v>12.0603645891883</c:v>
                </c:pt>
                <c:pt idx="5">
                  <c:v>14.4455644561315</c:v>
                </c:pt>
                <c:pt idx="6">
                  <c:v>16.830911447644102</c:v>
                </c:pt>
                <c:pt idx="7">
                  <c:v>19.2163892165518</c:v>
                </c:pt>
                <c:pt idx="8">
                  <c:v>21.6021121930753</c:v>
                </c:pt>
                <c:pt idx="9">
                  <c:v>23.987818822424298</c:v>
                </c:pt>
                <c:pt idx="10">
                  <c:v>26.3735908404709</c:v>
                </c:pt>
                <c:pt idx="11">
                  <c:v>28.7594119000407</c:v>
                </c:pt>
                <c:pt idx="12">
                  <c:v>31.145314695482298</c:v>
                </c:pt>
                <c:pt idx="13">
                  <c:v>33.531201143749598</c:v>
                </c:pt>
                <c:pt idx="14">
                  <c:v>35.9172347165863</c:v>
                </c:pt>
                <c:pt idx="15">
                  <c:v>38.303268289423002</c:v>
                </c:pt>
                <c:pt idx="16">
                  <c:v>40.689399945306</c:v>
                </c:pt>
                <c:pt idx="17">
                  <c:v>43.075498906840203</c:v>
                </c:pt>
                <c:pt idx="18">
                  <c:v>45.461597868374497</c:v>
                </c:pt>
                <c:pt idx="19">
                  <c:v>47.847729524257502</c:v>
                </c:pt>
                <c:pt idx="20">
                  <c:v>50.233926568838001</c:v>
                </c:pt>
                <c:pt idx="21">
                  <c:v>52.620156307767303</c:v>
                </c:pt>
                <c:pt idx="22">
                  <c:v>55.006353352347801</c:v>
                </c:pt>
                <c:pt idx="23">
                  <c:v>57.392713868672203</c:v>
                </c:pt>
                <c:pt idx="24">
                  <c:v>59.779008996298998</c:v>
                </c:pt>
                <c:pt idx="25">
                  <c:v>62.165255082402702</c:v>
                </c:pt>
                <c:pt idx="26">
                  <c:v>64.551599251552602</c:v>
                </c:pt>
                <c:pt idx="27">
                  <c:v>66.937976115051399</c:v>
                </c:pt>
                <c:pt idx="28">
                  <c:v>69.324451061596406</c:v>
                </c:pt>
                <c:pt idx="29">
                  <c:v>71.710909660967005</c:v>
                </c:pt>
                <c:pt idx="30">
                  <c:v>74.097466343383999</c:v>
                </c:pt>
                <c:pt idx="31">
                  <c:v>76.484072067324107</c:v>
                </c:pt>
                <c:pt idx="32">
                  <c:v>78.8708085686592</c:v>
                </c:pt>
                <c:pt idx="33">
                  <c:v>81.257528722819998</c:v>
                </c:pt>
                <c:pt idx="34">
                  <c:v>83.644363307201402</c:v>
                </c:pt>
                <c:pt idx="35">
                  <c:v>86.031328668977906</c:v>
                </c:pt>
                <c:pt idx="36">
                  <c:v>88.418343072277594</c:v>
                </c:pt>
                <c:pt idx="37">
                  <c:v>90.805569988844198</c:v>
                </c:pt>
                <c:pt idx="38">
                  <c:v>93.1927151695389</c:v>
                </c:pt>
                <c:pt idx="39">
                  <c:v>95.580187293721195</c:v>
                </c:pt>
                <c:pt idx="40">
                  <c:v>97.967806542472999</c:v>
                </c:pt>
                <c:pt idx="41">
                  <c:v>100.355589262968</c:v>
                </c:pt>
                <c:pt idx="42">
                  <c:v>102.743535455208</c:v>
                </c:pt>
                <c:pt idx="43">
                  <c:v>105.131710507888</c:v>
                </c:pt>
                <c:pt idx="44">
                  <c:v>107.520081726662</c:v>
                </c:pt>
                <c:pt idx="45">
                  <c:v>109.03995481579599</c:v>
                </c:pt>
              </c:numCache>
            </c:numRef>
          </c:xVal>
          <c:yVal>
            <c:numRef>
              <c:f>'Sunshot pump'!$H$13:$H$58</c:f>
              <c:numCache>
                <c:formatCode>General</c:formatCode>
                <c:ptCount val="46"/>
                <c:pt idx="0">
                  <c:v>2065.7463809258002</c:v>
                </c:pt>
                <c:pt idx="1">
                  <c:v>2075.9949446834098</c:v>
                </c:pt>
                <c:pt idx="2">
                  <c:v>2082.8273205218202</c:v>
                </c:pt>
                <c:pt idx="3">
                  <c:v>2089.6596963602301</c:v>
                </c:pt>
                <c:pt idx="4">
                  <c:v>2094.2146135858402</c:v>
                </c:pt>
                <c:pt idx="5">
                  <c:v>2098.0862932276</c:v>
                </c:pt>
                <c:pt idx="6">
                  <c:v>2099.9082601178502</c:v>
                </c:pt>
                <c:pt idx="7">
                  <c:v>2099.9082601178502</c:v>
                </c:pt>
                <c:pt idx="8">
                  <c:v>2096.49207219864</c:v>
                </c:pt>
                <c:pt idx="9">
                  <c:v>2093.3036301407201</c:v>
                </c:pt>
                <c:pt idx="10">
                  <c:v>2089.20420463767</c:v>
                </c:pt>
                <c:pt idx="11">
                  <c:v>2084.4215415507801</c:v>
                </c:pt>
                <c:pt idx="12">
                  <c:v>2078.5001491574999</c:v>
                </c:pt>
                <c:pt idx="13">
                  <c:v>2072.8065026254899</c:v>
                </c:pt>
                <c:pt idx="14">
                  <c:v>2065.0631433419599</c:v>
                </c:pt>
                <c:pt idx="15">
                  <c:v>2057.3197840584298</c:v>
                </c:pt>
                <c:pt idx="16">
                  <c:v>2048.2099496072101</c:v>
                </c:pt>
                <c:pt idx="17">
                  <c:v>2039.55560687856</c:v>
                </c:pt>
                <c:pt idx="18">
                  <c:v>2030.90126414991</c:v>
                </c:pt>
                <c:pt idx="19">
                  <c:v>2021.7914296987001</c:v>
                </c:pt>
                <c:pt idx="20">
                  <c:v>2011.77061180236</c:v>
                </c:pt>
                <c:pt idx="21">
                  <c:v>2001.2943021834701</c:v>
                </c:pt>
                <c:pt idx="22">
                  <c:v>1991.27348428713</c:v>
                </c:pt>
                <c:pt idx="23">
                  <c:v>1978.9752077779999</c:v>
                </c:pt>
                <c:pt idx="24">
                  <c:v>1967.5879147139799</c:v>
                </c:pt>
                <c:pt idx="25">
                  <c:v>1956.88385923381</c:v>
                </c:pt>
                <c:pt idx="26">
                  <c:v>1944.8133285859501</c:v>
                </c:pt>
                <c:pt idx="27">
                  <c:v>1932.28730621553</c:v>
                </c:pt>
                <c:pt idx="28">
                  <c:v>1918.3948086774301</c:v>
                </c:pt>
                <c:pt idx="29">
                  <c:v>1904.73005700061</c:v>
                </c:pt>
                <c:pt idx="30">
                  <c:v>1889.69883015611</c:v>
                </c:pt>
                <c:pt idx="31">
                  <c:v>1873.98436572777</c:v>
                </c:pt>
                <c:pt idx="32">
                  <c:v>1856.4479344091901</c:v>
                </c:pt>
                <c:pt idx="33">
                  <c:v>1839.1392489518801</c:v>
                </c:pt>
                <c:pt idx="34">
                  <c:v>1820.2363424656201</c:v>
                </c:pt>
                <c:pt idx="35">
                  <c:v>1799.5114690891101</c:v>
                </c:pt>
                <c:pt idx="36">
                  <c:v>1778.10335812876</c:v>
                </c:pt>
                <c:pt idx="37">
                  <c:v>1753.73455097176</c:v>
                </c:pt>
                <c:pt idx="38">
                  <c:v>1730.5044731211699</c:v>
                </c:pt>
                <c:pt idx="39">
                  <c:v>1702.7194780449699</c:v>
                </c:pt>
                <c:pt idx="40">
                  <c:v>1672.88477021725</c:v>
                </c:pt>
                <c:pt idx="41">
                  <c:v>1640.77260377673</c:v>
                </c:pt>
                <c:pt idx="42">
                  <c:v>1606.3829787233999</c:v>
                </c:pt>
                <c:pt idx="43">
                  <c:v>1568.8049116121499</c:v>
                </c:pt>
                <c:pt idx="44">
                  <c:v>1528.49389416553</c:v>
                </c:pt>
                <c:pt idx="45">
                  <c:v>1502.83452712795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33-4066-BC86-12436D83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58527"/>
        <c:axId val="424289951"/>
      </c:scatterChart>
      <c:valAx>
        <c:axId val="45355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89951"/>
        <c:crosses val="autoZero"/>
        <c:crossBetween val="midCat"/>
      </c:valAx>
      <c:valAx>
        <c:axId val="42428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58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161926</xdr:rowOff>
    </xdr:from>
    <xdr:to>
      <xdr:col>19</xdr:col>
      <xdr:colOff>0</xdr:colOff>
      <xdr:row>35</xdr:row>
      <xdr:rowOff>180976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3028950" y="3781426"/>
          <a:ext cx="9753600" cy="3067050"/>
          <a:chOff x="3543300" y="933451"/>
          <a:chExt cx="9753600" cy="306705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3552825" y="3438526"/>
            <a:ext cx="1209675" cy="5524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Sunshot</a:t>
            </a:r>
            <a:r>
              <a:rPr lang="en-US" sz="1100" baseline="0"/>
              <a:t> CO2 Pump</a:t>
            </a:r>
            <a:endParaRPr lang="en-US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7810501" y="2676526"/>
            <a:ext cx="1209674" cy="561974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Recycle valve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2068175" y="3448051"/>
            <a:ext cx="1228725" cy="5524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Cooler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2087226" y="933451"/>
            <a:ext cx="1200150" cy="6096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Test Section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7820025" y="942976"/>
            <a:ext cx="1209675" cy="5715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Valve 2 - 1/2" globe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3543300" y="952501"/>
            <a:ext cx="1209675" cy="5715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Valve 1 - 1/2"</a:t>
            </a:r>
            <a:r>
              <a:rPr lang="en-US" sz="1100" baseline="0"/>
              <a:t> globe</a:t>
            </a:r>
            <a:endParaRPr lang="en-US" sz="1100"/>
          </a:p>
        </xdr:txBody>
      </xdr: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stCxn id="10" idx="3"/>
            <a:endCxn id="9" idx="1"/>
          </xdr:cNvCxnSpPr>
        </xdr:nvCxnSpPr>
        <xdr:spPr>
          <a:xfrm flipV="1">
            <a:off x="4752975" y="1228726"/>
            <a:ext cx="3067050" cy="952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stCxn id="9" idx="3"/>
            <a:endCxn id="8" idx="1"/>
          </xdr:cNvCxnSpPr>
        </xdr:nvCxnSpPr>
        <xdr:spPr>
          <a:xfrm>
            <a:off x="9029700" y="1228726"/>
            <a:ext cx="3057526" cy="952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>
            <a:stCxn id="8" idx="2"/>
          </xdr:cNvCxnSpPr>
        </xdr:nvCxnSpPr>
        <xdr:spPr>
          <a:xfrm>
            <a:off x="12687301" y="1543051"/>
            <a:ext cx="9524" cy="1381124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Arrow Connector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>
            <a:endCxn id="10" idx="2"/>
          </xdr:cNvCxnSpPr>
        </xdr:nvCxnSpPr>
        <xdr:spPr>
          <a:xfrm flipH="1" flipV="1">
            <a:off x="4148138" y="1524001"/>
            <a:ext cx="4762" cy="1438274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>
            <a:endCxn id="5" idx="1"/>
          </xdr:cNvCxnSpPr>
        </xdr:nvCxnSpPr>
        <xdr:spPr>
          <a:xfrm flipV="1">
            <a:off x="4181475" y="2957513"/>
            <a:ext cx="3629026" cy="4762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>
            <a:stCxn id="2" idx="0"/>
          </xdr:cNvCxnSpPr>
        </xdr:nvCxnSpPr>
        <xdr:spPr>
          <a:xfrm flipV="1">
            <a:off x="4157663" y="2952750"/>
            <a:ext cx="4762" cy="485776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Arrow Connecto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>
            <a:stCxn id="5" idx="3"/>
          </xdr:cNvCxnSpPr>
        </xdr:nvCxnSpPr>
        <xdr:spPr>
          <a:xfrm flipV="1">
            <a:off x="9020175" y="2952750"/>
            <a:ext cx="3686175" cy="4763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>
            <a:endCxn id="7" idx="0"/>
          </xdr:cNvCxnSpPr>
        </xdr:nvCxnSpPr>
        <xdr:spPr>
          <a:xfrm flipH="1">
            <a:off x="12682538" y="2905125"/>
            <a:ext cx="14287" cy="542926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>
            <a:stCxn id="7" idx="1"/>
            <a:endCxn id="2" idx="3"/>
          </xdr:cNvCxnSpPr>
        </xdr:nvCxnSpPr>
        <xdr:spPr>
          <a:xfrm flipH="1" flipV="1">
            <a:off x="4762500" y="3714751"/>
            <a:ext cx="7305675" cy="952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8</xdr:col>
      <xdr:colOff>314325</xdr:colOff>
      <xdr:row>2</xdr:row>
      <xdr:rowOff>114300</xdr:rowOff>
    </xdr:from>
    <xdr:to>
      <xdr:col>11</xdr:col>
      <xdr:colOff>409335</xdr:colOff>
      <xdr:row>5</xdr:row>
      <xdr:rowOff>18990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91275" y="304800"/>
          <a:ext cx="1923810" cy="476190"/>
        </a:xfrm>
        <a:prstGeom prst="rect">
          <a:avLst/>
        </a:prstGeom>
      </xdr:spPr>
    </xdr:pic>
    <xdr:clientData/>
  </xdr:twoCellAnchor>
  <xdr:twoCellAnchor>
    <xdr:from>
      <xdr:col>12</xdr:col>
      <xdr:colOff>257175</xdr:colOff>
      <xdr:row>0</xdr:row>
      <xdr:rowOff>95250</xdr:rowOff>
    </xdr:from>
    <xdr:to>
      <xdr:col>18</xdr:col>
      <xdr:colOff>219075</xdr:colOff>
      <xdr:row>18</xdr:row>
      <xdr:rowOff>66675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0</xdr:rowOff>
        </xdr:from>
        <xdr:to>
          <xdr:col>3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371475</xdr:colOff>
      <xdr:row>38</xdr:row>
      <xdr:rowOff>104775</xdr:rowOff>
    </xdr:from>
    <xdr:to>
      <xdr:col>7</xdr:col>
      <xdr:colOff>447675</xdr:colOff>
      <xdr:row>41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00425" y="7343775"/>
          <a:ext cx="25146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Pump</a:t>
          </a:r>
          <a:r>
            <a:rPr lang="en-US" sz="1100" baseline="0"/>
            <a:t> needs liquid inlet and a temperature close to cooler exit</a:t>
          </a:r>
          <a:endParaRPr lang="en-US" sz="1100"/>
        </a:p>
      </xdr:txBody>
    </xdr:sp>
    <xdr:clientData/>
  </xdr:twoCellAnchor>
  <xdr:twoCellAnchor>
    <xdr:from>
      <xdr:col>18</xdr:col>
      <xdr:colOff>247650</xdr:colOff>
      <xdr:row>36</xdr:row>
      <xdr:rowOff>142875</xdr:rowOff>
    </xdr:from>
    <xdr:to>
      <xdr:col>22</xdr:col>
      <xdr:colOff>323850</xdr:colOff>
      <xdr:row>39</xdr:row>
      <xdr:rowOff>133350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420600" y="7000875"/>
          <a:ext cx="25146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Cooler exit should be  &gt;13C (ideally as high as 20C). Spec'd for 37C in, 20C out. Designed for 84 bar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466725</xdr:colOff>
      <xdr:row>4</xdr:row>
      <xdr:rowOff>95250</xdr:rowOff>
    </xdr:from>
    <xdr:to>
      <xdr:col>21</xdr:col>
      <xdr:colOff>201573</xdr:colOff>
      <xdr:row>12</xdr:row>
      <xdr:rowOff>53449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57250"/>
          <a:ext cx="5411748" cy="1482199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209550</xdr:colOff>
      <xdr:row>11</xdr:row>
      <xdr:rowOff>161281</xdr:rowOff>
    </xdr:from>
    <xdr:to>
      <xdr:col>25</xdr:col>
      <xdr:colOff>580268</xdr:colOff>
      <xdr:row>32</xdr:row>
      <xdr:rowOff>18420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6350" y="2256781"/>
          <a:ext cx="4637918" cy="3857639"/>
        </a:xfrm>
        <a:prstGeom prst="rect">
          <a:avLst/>
        </a:prstGeom>
      </xdr:spPr>
    </xdr:pic>
    <xdr:clientData/>
  </xdr:twoCellAnchor>
  <xdr:twoCellAnchor>
    <xdr:from>
      <xdr:col>4</xdr:col>
      <xdr:colOff>600076</xdr:colOff>
      <xdr:row>20</xdr:row>
      <xdr:rowOff>123825</xdr:rowOff>
    </xdr:from>
    <xdr:to>
      <xdr:col>8</xdr:col>
      <xdr:colOff>123826</xdr:colOff>
      <xdr:row>34</xdr:row>
      <xdr:rowOff>100011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533400</xdr:colOff>
      <xdr:row>56</xdr:row>
      <xdr:rowOff>171450</xdr:rowOff>
    </xdr:from>
    <xdr:to>
      <xdr:col>24</xdr:col>
      <xdr:colOff>61912</xdr:colOff>
      <xdr:row>69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1757362</xdr:colOff>
      <xdr:row>32</xdr:row>
      <xdr:rowOff>128586</xdr:rowOff>
    </xdr:from>
    <xdr:to>
      <xdr:col>22</xdr:col>
      <xdr:colOff>571500</xdr:colOff>
      <xdr:row>51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542925</xdr:colOff>
      <xdr:row>25</xdr:row>
      <xdr:rowOff>142875</xdr:rowOff>
    </xdr:from>
    <xdr:to>
      <xdr:col>4</xdr:col>
      <xdr:colOff>1009650</xdr:colOff>
      <xdr:row>39</xdr:row>
      <xdr:rowOff>119061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66675</xdr:colOff>
      <xdr:row>16</xdr:row>
      <xdr:rowOff>95249</xdr:rowOff>
    </xdr:from>
    <xdr:to>
      <xdr:col>12</xdr:col>
      <xdr:colOff>285751</xdr:colOff>
      <xdr:row>34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495299</xdr:colOff>
      <xdr:row>13</xdr:row>
      <xdr:rowOff>123826</xdr:rowOff>
    </xdr:from>
    <xdr:to>
      <xdr:col>7</xdr:col>
      <xdr:colOff>733425</xdr:colOff>
      <xdr:row>65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04899" y="2600326"/>
          <a:ext cx="6429376" cy="99536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1123951</xdr:colOff>
      <xdr:row>10</xdr:row>
      <xdr:rowOff>95250</xdr:rowOff>
    </xdr:from>
    <xdr:to>
      <xdr:col>8</xdr:col>
      <xdr:colOff>400051</xdr:colOff>
      <xdr:row>13</xdr:row>
      <xdr:rowOff>171450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610351" y="2000250"/>
          <a:ext cx="1676400" cy="6477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with equation from chart when changing RPM</a:t>
          </a:r>
        </a:p>
      </xdr:txBody>
    </xdr:sp>
    <xdr:clientData/>
  </xdr:twoCellAnchor>
  <xdr:twoCellAnchor>
    <xdr:from>
      <xdr:col>8</xdr:col>
      <xdr:colOff>28575</xdr:colOff>
      <xdr:row>9</xdr:row>
      <xdr:rowOff>38100</xdr:rowOff>
    </xdr:from>
    <xdr:to>
      <xdr:col>8</xdr:col>
      <xdr:colOff>257175</xdr:colOff>
      <xdr:row>10</xdr:row>
      <xdr:rowOff>95250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7915275" y="1752600"/>
          <a:ext cx="2286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14</xdr:row>
      <xdr:rowOff>66675</xdr:rowOff>
    </xdr:from>
    <xdr:to>
      <xdr:col>10</xdr:col>
      <xdr:colOff>1085850</xdr:colOff>
      <xdr:row>27</xdr:row>
      <xdr:rowOff>142875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H="1" flipV="1">
          <a:off x="7972425" y="2733675"/>
          <a:ext cx="3943350" cy="255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709723</xdr:colOff>
      <xdr:row>65</xdr:row>
      <xdr:rowOff>70679</xdr:rowOff>
    </xdr:from>
    <xdr:to>
      <xdr:col>8</xdr:col>
      <xdr:colOff>258723</xdr:colOff>
      <xdr:row>71</xdr:row>
      <xdr:rowOff>38100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4E108BE-0D1D-4CA9-A0F5-33F13377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1098" y="12453179"/>
          <a:ext cx="4054325" cy="11104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16</xdr:row>
      <xdr:rowOff>0</xdr:rowOff>
    </xdr:from>
    <xdr:to>
      <xdr:col>13</xdr:col>
      <xdr:colOff>570799</xdr:colOff>
      <xdr:row>57</xdr:row>
      <xdr:rowOff>18071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3048000"/>
          <a:ext cx="5609524" cy="78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281558</xdr:colOff>
      <xdr:row>23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15958" cy="4391024"/>
        </a:xfrm>
        <a:prstGeom prst="rect">
          <a:avLst/>
        </a:prstGeom>
      </xdr:spPr>
    </xdr:pic>
    <xdr:clientData/>
  </xdr:twoCellAnchor>
  <xdr:twoCellAnchor editAs="oneCell">
    <xdr:from>
      <xdr:col>14</xdr:col>
      <xdr:colOff>323849</xdr:colOff>
      <xdr:row>0</xdr:row>
      <xdr:rowOff>13723</xdr:rowOff>
    </xdr:from>
    <xdr:to>
      <xdr:col>28</xdr:col>
      <xdr:colOff>182840</xdr:colOff>
      <xdr:row>23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58249" y="13723"/>
          <a:ext cx="8393391" cy="44058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76200</xdr:rowOff>
    </xdr:from>
    <xdr:to>
      <xdr:col>13</xdr:col>
      <xdr:colOff>218137</xdr:colOff>
      <xdr:row>37</xdr:row>
      <xdr:rowOff>122986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638175" y="457200"/>
          <a:ext cx="7504762" cy="6714286"/>
          <a:chOff x="638175" y="457200"/>
          <a:chExt cx="7504762" cy="671428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38175" y="457200"/>
            <a:ext cx="7504762" cy="6714286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/>
        </xdr:nvSpPr>
        <xdr:spPr>
          <a:xfrm>
            <a:off x="1133475" y="923925"/>
            <a:ext cx="1409700" cy="371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Nominal Case</a:t>
            </a:r>
          </a:p>
        </xdr:txBody>
      </xdr:sp>
    </xdr:grpSp>
    <xdr:clientData/>
  </xdr:twoCellAnchor>
  <xdr:twoCellAnchor>
    <xdr:from>
      <xdr:col>14</xdr:col>
      <xdr:colOff>447686</xdr:colOff>
      <xdr:row>1</xdr:row>
      <xdr:rowOff>180964</xdr:rowOff>
    </xdr:from>
    <xdr:to>
      <xdr:col>27</xdr:col>
      <xdr:colOff>160981</xdr:colOff>
      <xdr:row>41</xdr:row>
      <xdr:rowOff>27631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8982086" y="371464"/>
          <a:ext cx="7638095" cy="7466667"/>
          <a:chOff x="9163061" y="428614"/>
          <a:chExt cx="7638095" cy="7466667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 rot="5400000">
            <a:off x="9248775" y="342900"/>
            <a:ext cx="7466667" cy="7638095"/>
          </a:xfrm>
          <a:prstGeom prst="rect">
            <a:avLst/>
          </a:prstGeom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 txBox="1"/>
        </xdr:nvSpPr>
        <xdr:spPr>
          <a:xfrm>
            <a:off x="9667875" y="1038225"/>
            <a:ext cx="1409700" cy="371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Alternate Case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REFPROP\REFPROP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otential%20Loop%20Conditions%20R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18cuifs\CUI\4_Mach\04.15\1MW%20SCO2%20Oxy%20Combustor\Facility%20Design\Cycle%20Model\Analysis\2021-07-28\Cycle%20Modeling%20R2-lightoff-open%20loo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efprop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from Echogen"/>
      <sheetName val="Turbine Calc"/>
      <sheetName val="Test Loop Calc"/>
      <sheetName val="Test Loop Calc (4)"/>
      <sheetName val="Test Loop Calc (3)"/>
      <sheetName val="Test Loop Calc (2)"/>
      <sheetName val="Sunshot Pump Perf"/>
      <sheetName val="CO2 Sat Prop"/>
      <sheetName val="Fluid Property Tr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C5">
            <v>0.53064999999999996</v>
          </cell>
          <cell r="G5">
            <v>430.62</v>
          </cell>
          <cell r="L5">
            <v>0.55535999999999996</v>
          </cell>
          <cell r="N5">
            <v>80.061999999999998</v>
          </cell>
        </row>
        <row r="6">
          <cell r="C6">
            <v>0.55396999999999996</v>
          </cell>
          <cell r="G6">
            <v>430.99</v>
          </cell>
          <cell r="L6">
            <v>0.78925999999999996</v>
          </cell>
          <cell r="N6">
            <v>80.224999999999994</v>
          </cell>
        </row>
        <row r="7">
          <cell r="C7">
            <v>0.57804999999999995</v>
          </cell>
          <cell r="G7">
            <v>431.34</v>
          </cell>
          <cell r="L7">
            <v>1.0233000000000001</v>
          </cell>
          <cell r="N7">
            <v>80.388999999999996</v>
          </cell>
        </row>
        <row r="8">
          <cell r="C8">
            <v>0.60290999999999995</v>
          </cell>
          <cell r="G8">
            <v>431.69</v>
          </cell>
          <cell r="L8">
            <v>1.2574000000000001</v>
          </cell>
          <cell r="N8">
            <v>80.554000000000002</v>
          </cell>
        </row>
        <row r="9">
          <cell r="C9">
            <v>0.62856999999999996</v>
          </cell>
          <cell r="G9">
            <v>432.03</v>
          </cell>
          <cell r="L9">
            <v>1.4916</v>
          </cell>
          <cell r="N9">
            <v>80.718000000000004</v>
          </cell>
        </row>
        <row r="10">
          <cell r="C10">
            <v>0.65503999999999996</v>
          </cell>
          <cell r="G10">
            <v>432.36</v>
          </cell>
          <cell r="L10">
            <v>1.726</v>
          </cell>
          <cell r="N10">
            <v>80.882999999999996</v>
          </cell>
        </row>
        <row r="11">
          <cell r="C11">
            <v>0.68233999999999995</v>
          </cell>
          <cell r="G11">
            <v>432.68</v>
          </cell>
          <cell r="L11">
            <v>1.9603999999999999</v>
          </cell>
          <cell r="N11">
            <v>81.046999999999997</v>
          </cell>
        </row>
        <row r="12">
          <cell r="C12">
            <v>0.83184000000000002</v>
          </cell>
          <cell r="G12">
            <v>434.13</v>
          </cell>
          <cell r="L12">
            <v>2.1949999999999998</v>
          </cell>
          <cell r="N12">
            <v>81.212000000000003</v>
          </cell>
        </row>
        <row r="13">
          <cell r="C13">
            <v>1.0044999999999999</v>
          </cell>
          <cell r="G13">
            <v>435.32</v>
          </cell>
          <cell r="L13">
            <v>3.1343999999999999</v>
          </cell>
          <cell r="N13">
            <v>81.875</v>
          </cell>
        </row>
        <row r="14">
          <cell r="C14">
            <v>1.2023999999999999</v>
          </cell>
          <cell r="G14">
            <v>436.23</v>
          </cell>
          <cell r="L14">
            <v>4.0757000000000003</v>
          </cell>
          <cell r="N14">
            <v>82.540999999999997</v>
          </cell>
        </row>
        <row r="15">
          <cell r="C15">
            <v>1.4278</v>
          </cell>
          <cell r="G15">
            <v>436.82</v>
          </cell>
          <cell r="L15">
            <v>5.0187999999999997</v>
          </cell>
          <cell r="N15">
            <v>83.21</v>
          </cell>
        </row>
        <row r="16">
          <cell r="C16">
            <v>1.6827000000000001</v>
          </cell>
          <cell r="G16">
            <v>437.06</v>
          </cell>
          <cell r="L16">
            <v>5.9637000000000002</v>
          </cell>
          <cell r="N16">
            <v>83.882999999999996</v>
          </cell>
        </row>
        <row r="17">
          <cell r="C17">
            <v>1.9696</v>
          </cell>
          <cell r="G17">
            <v>436.89</v>
          </cell>
          <cell r="L17">
            <v>6.9104000000000001</v>
          </cell>
          <cell r="N17">
            <v>84.558999999999997</v>
          </cell>
        </row>
        <row r="18">
          <cell r="C18">
            <v>2.2907999999999999</v>
          </cell>
          <cell r="G18">
            <v>436.27</v>
          </cell>
          <cell r="L18">
            <v>7.8589000000000002</v>
          </cell>
          <cell r="N18">
            <v>85.239000000000004</v>
          </cell>
        </row>
        <row r="19">
          <cell r="C19">
            <v>2.6486999999999998</v>
          </cell>
          <cell r="G19">
            <v>435.14</v>
          </cell>
          <cell r="L19">
            <v>8.8092000000000006</v>
          </cell>
          <cell r="N19">
            <v>85.921000000000006</v>
          </cell>
        </row>
        <row r="20">
          <cell r="C20">
            <v>3.0459000000000001</v>
          </cell>
          <cell r="G20">
            <v>433.38</v>
          </cell>
          <cell r="L20">
            <v>9.7614000000000001</v>
          </cell>
          <cell r="N20">
            <v>86.606999999999999</v>
          </cell>
        </row>
        <row r="21">
          <cell r="C21">
            <v>3.4851000000000001</v>
          </cell>
          <cell r="G21">
            <v>430.89</v>
          </cell>
          <cell r="L21">
            <v>10.715</v>
          </cell>
          <cell r="N21">
            <v>87.296000000000006</v>
          </cell>
        </row>
        <row r="22">
          <cell r="C22">
            <v>3.9695</v>
          </cell>
          <cell r="G22">
            <v>427.48</v>
          </cell>
          <cell r="L22">
            <v>11.670999999999999</v>
          </cell>
          <cell r="N22">
            <v>87.986999999999995</v>
          </cell>
        </row>
        <row r="23">
          <cell r="C23">
            <v>4.5022000000000002</v>
          </cell>
          <cell r="G23">
            <v>422.88</v>
          </cell>
          <cell r="L23">
            <v>12.629</v>
          </cell>
          <cell r="N23">
            <v>88.682000000000002</v>
          </cell>
        </row>
        <row r="24">
          <cell r="C24">
            <v>5.0871000000000004</v>
          </cell>
          <cell r="G24">
            <v>416.64</v>
          </cell>
          <cell r="L24">
            <v>13.587999999999999</v>
          </cell>
          <cell r="N24">
            <v>89.38</v>
          </cell>
        </row>
        <row r="25">
          <cell r="C25">
            <v>5.7290999999999999</v>
          </cell>
          <cell r="G25">
            <v>407.87</v>
          </cell>
          <cell r="L25">
            <v>14.548999999999999</v>
          </cell>
          <cell r="N25">
            <v>90.08</v>
          </cell>
        </row>
        <row r="26">
          <cell r="C26">
            <v>6.4341999999999997</v>
          </cell>
          <cell r="G26">
            <v>394.43</v>
          </cell>
          <cell r="L26">
            <v>15.512</v>
          </cell>
          <cell r="N26">
            <v>90.784000000000006</v>
          </cell>
        </row>
        <row r="27">
          <cell r="C27">
            <v>7.2137000000000002</v>
          </cell>
          <cell r="G27">
            <v>365.13</v>
          </cell>
          <cell r="L27">
            <v>16.477</v>
          </cell>
          <cell r="N27">
            <v>91.49</v>
          </cell>
        </row>
        <row r="28">
          <cell r="C28">
            <v>7.2302</v>
          </cell>
          <cell r="G28">
            <v>363.86</v>
          </cell>
          <cell r="L28">
            <v>17.443999999999999</v>
          </cell>
          <cell r="N28">
            <v>92.198999999999998</v>
          </cell>
        </row>
        <row r="29">
          <cell r="C29">
            <v>7.2466999999999997</v>
          </cell>
          <cell r="G29">
            <v>362.5</v>
          </cell>
          <cell r="L29">
            <v>18.411999999999999</v>
          </cell>
          <cell r="N29">
            <v>92.91</v>
          </cell>
        </row>
        <row r="30">
          <cell r="C30">
            <v>7.2633000000000001</v>
          </cell>
          <cell r="G30">
            <v>361.02</v>
          </cell>
          <cell r="L30">
            <v>19.382999999999999</v>
          </cell>
          <cell r="N30">
            <v>93.625</v>
          </cell>
        </row>
        <row r="31">
          <cell r="C31">
            <v>7.28</v>
          </cell>
          <cell r="G31">
            <v>359.39</v>
          </cell>
          <cell r="L31">
            <v>20.355</v>
          </cell>
          <cell r="N31">
            <v>94.341999999999999</v>
          </cell>
        </row>
        <row r="32">
          <cell r="C32">
            <v>7.2967000000000004</v>
          </cell>
          <cell r="G32">
            <v>357.57</v>
          </cell>
          <cell r="L32">
            <v>21.329000000000001</v>
          </cell>
          <cell r="N32">
            <v>95.061000000000007</v>
          </cell>
        </row>
        <row r="33">
          <cell r="C33">
            <v>7.3133999999999997</v>
          </cell>
          <cell r="G33">
            <v>355.48</v>
          </cell>
          <cell r="L33">
            <v>22.303999999999998</v>
          </cell>
          <cell r="N33">
            <v>95.783000000000001</v>
          </cell>
        </row>
        <row r="34">
          <cell r="C34">
            <v>7.3301999999999996</v>
          </cell>
          <cell r="G34">
            <v>353.02</v>
          </cell>
          <cell r="L34">
            <v>23.282</v>
          </cell>
          <cell r="N34">
            <v>96.507999999999996</v>
          </cell>
        </row>
        <row r="35">
          <cell r="C35">
            <v>7.3471000000000002</v>
          </cell>
          <cell r="G35">
            <v>349.91</v>
          </cell>
          <cell r="L35">
            <v>24.260999999999999</v>
          </cell>
          <cell r="N35">
            <v>97.234999999999999</v>
          </cell>
        </row>
        <row r="36">
          <cell r="C36">
            <v>7.3639999999999999</v>
          </cell>
          <cell r="G36">
            <v>345.41</v>
          </cell>
          <cell r="L36">
            <v>25.242999999999999</v>
          </cell>
          <cell r="N36">
            <v>97.965000000000003</v>
          </cell>
        </row>
        <row r="37">
          <cell r="C37">
            <v>7.3657000000000004</v>
          </cell>
          <cell r="G37">
            <v>344.79</v>
          </cell>
          <cell r="L37">
            <v>26.225999999999999</v>
          </cell>
          <cell r="N37">
            <v>98.697000000000003</v>
          </cell>
        </row>
        <row r="38">
          <cell r="C38">
            <v>7.3673999999999999</v>
          </cell>
          <cell r="G38">
            <v>344.11</v>
          </cell>
          <cell r="L38">
            <v>27.21</v>
          </cell>
          <cell r="N38">
            <v>99.430999999999997</v>
          </cell>
        </row>
        <row r="39">
          <cell r="C39">
            <v>7.3691000000000004</v>
          </cell>
          <cell r="G39">
            <v>343.35</v>
          </cell>
          <cell r="L39">
            <v>28.196999999999999</v>
          </cell>
          <cell r="N39">
            <v>100.17</v>
          </cell>
        </row>
        <row r="40">
          <cell r="C40">
            <v>7.3708</v>
          </cell>
          <cell r="G40">
            <v>342.49</v>
          </cell>
          <cell r="L40">
            <v>29.186</v>
          </cell>
          <cell r="N40">
            <v>100.91</v>
          </cell>
        </row>
        <row r="41">
          <cell r="C41">
            <v>7.3724999999999996</v>
          </cell>
          <cell r="G41">
            <v>341.48</v>
          </cell>
          <cell r="L41">
            <v>30.175999999999998</v>
          </cell>
          <cell r="N41">
            <v>101.65</v>
          </cell>
        </row>
        <row r="42">
          <cell r="C42">
            <v>7.3742000000000001</v>
          </cell>
          <cell r="G42">
            <v>340.2</v>
          </cell>
          <cell r="L42">
            <v>31.167999999999999</v>
          </cell>
          <cell r="N42">
            <v>102.39</v>
          </cell>
        </row>
        <row r="43">
          <cell r="C43">
            <v>7.3758999999999997</v>
          </cell>
          <cell r="G43">
            <v>338.32</v>
          </cell>
          <cell r="L43">
            <v>32.161999999999999</v>
          </cell>
          <cell r="N43">
            <v>103.14</v>
          </cell>
        </row>
        <row r="44">
          <cell r="C44">
            <v>7.3761000000000001</v>
          </cell>
          <cell r="G44">
            <v>338.06</v>
          </cell>
          <cell r="L44">
            <v>37.158999999999999</v>
          </cell>
          <cell r="N44">
            <v>106.9</v>
          </cell>
        </row>
        <row r="45">
          <cell r="C45">
            <v>7.3761999999999999</v>
          </cell>
          <cell r="G45">
            <v>337.78</v>
          </cell>
          <cell r="L45">
            <v>42.201000000000001</v>
          </cell>
          <cell r="N45">
            <v>110.72</v>
          </cell>
        </row>
        <row r="46">
          <cell r="C46">
            <v>7.3764000000000003</v>
          </cell>
          <cell r="G46">
            <v>337.46</v>
          </cell>
          <cell r="L46">
            <v>47.287999999999997</v>
          </cell>
          <cell r="N46">
            <v>114.59</v>
          </cell>
        </row>
        <row r="47">
          <cell r="C47">
            <v>7.3765999999999998</v>
          </cell>
          <cell r="G47">
            <v>337.1</v>
          </cell>
          <cell r="L47">
            <v>52.420999999999999</v>
          </cell>
          <cell r="N47">
            <v>118.5</v>
          </cell>
        </row>
        <row r="48">
          <cell r="C48">
            <v>7.3768000000000002</v>
          </cell>
          <cell r="G48">
            <v>336.67</v>
          </cell>
          <cell r="L48">
            <v>57.598999999999997</v>
          </cell>
          <cell r="N48">
            <v>122.46</v>
          </cell>
        </row>
        <row r="49">
          <cell r="C49">
            <v>7.3769</v>
          </cell>
          <cell r="G49">
            <v>336.15</v>
          </cell>
          <cell r="L49">
            <v>62.823</v>
          </cell>
          <cell r="N49">
            <v>126.47</v>
          </cell>
        </row>
        <row r="50">
          <cell r="C50">
            <v>7.3771000000000004</v>
          </cell>
          <cell r="G50">
            <v>335.4</v>
          </cell>
          <cell r="L50">
            <v>68.091999999999999</v>
          </cell>
          <cell r="N50">
            <v>130.52000000000001</v>
          </cell>
        </row>
        <row r="51">
          <cell r="C51">
            <v>7.3773</v>
          </cell>
          <cell r="G51">
            <v>333.93</v>
          </cell>
          <cell r="L51">
            <v>73.406999999999996</v>
          </cell>
          <cell r="N51">
            <v>134.62</v>
          </cell>
        </row>
        <row r="52">
          <cell r="L52">
            <v>78.766999999999996</v>
          </cell>
          <cell r="N52">
            <v>138.75</v>
          </cell>
        </row>
        <row r="53">
          <cell r="L53">
            <v>84.171999999999997</v>
          </cell>
          <cell r="N53">
            <v>142.91999999999999</v>
          </cell>
        </row>
        <row r="54">
          <cell r="L54">
            <v>89.622</v>
          </cell>
          <cell r="N54">
            <v>147.13999999999999</v>
          </cell>
        </row>
        <row r="55">
          <cell r="L55">
            <v>95.117999999999995</v>
          </cell>
          <cell r="N55">
            <v>151.38999999999999</v>
          </cell>
        </row>
        <row r="56">
          <cell r="L56">
            <v>100.66</v>
          </cell>
          <cell r="N56">
            <v>155.66999999999999</v>
          </cell>
        </row>
        <row r="57">
          <cell r="L57">
            <v>106.25</v>
          </cell>
          <cell r="N57">
            <v>160</v>
          </cell>
        </row>
        <row r="58">
          <cell r="L58">
            <v>111.88</v>
          </cell>
          <cell r="N58">
            <v>164.36</v>
          </cell>
        </row>
        <row r="59">
          <cell r="L59">
            <v>117.56</v>
          </cell>
          <cell r="N59">
            <v>168.75</v>
          </cell>
        </row>
        <row r="60">
          <cell r="L60">
            <v>123.28</v>
          </cell>
          <cell r="N60">
            <v>173.18</v>
          </cell>
        </row>
        <row r="61">
          <cell r="L61">
            <v>129.05000000000001</v>
          </cell>
          <cell r="N61">
            <v>177.65</v>
          </cell>
        </row>
        <row r="62">
          <cell r="L62">
            <v>134.86000000000001</v>
          </cell>
          <cell r="N62">
            <v>182.15</v>
          </cell>
        </row>
        <row r="63">
          <cell r="L63">
            <v>140.72</v>
          </cell>
          <cell r="N63">
            <v>186.68</v>
          </cell>
        </row>
        <row r="64">
          <cell r="L64">
            <v>146.63</v>
          </cell>
          <cell r="N64">
            <v>191.24</v>
          </cell>
        </row>
        <row r="65">
          <cell r="L65">
            <v>152.58000000000001</v>
          </cell>
          <cell r="N65">
            <v>195.84</v>
          </cell>
        </row>
        <row r="66">
          <cell r="L66">
            <v>158.57</v>
          </cell>
          <cell r="N66">
            <v>200.47</v>
          </cell>
        </row>
        <row r="67">
          <cell r="L67">
            <v>164.61</v>
          </cell>
          <cell r="N67">
            <v>205.13</v>
          </cell>
        </row>
        <row r="68">
          <cell r="L68">
            <v>170.7</v>
          </cell>
          <cell r="N68">
            <v>209.82</v>
          </cell>
        </row>
        <row r="69">
          <cell r="L69">
            <v>176.83</v>
          </cell>
          <cell r="N69">
            <v>214.54</v>
          </cell>
        </row>
        <row r="70">
          <cell r="L70">
            <v>183.01</v>
          </cell>
          <cell r="N70">
            <v>219.29</v>
          </cell>
        </row>
        <row r="71">
          <cell r="L71">
            <v>189.23</v>
          </cell>
          <cell r="N71">
            <v>224.08</v>
          </cell>
        </row>
        <row r="72">
          <cell r="L72">
            <v>195.5</v>
          </cell>
          <cell r="N72">
            <v>228.9</v>
          </cell>
        </row>
        <row r="73">
          <cell r="L73">
            <v>201.81</v>
          </cell>
          <cell r="N73">
            <v>233.74</v>
          </cell>
        </row>
        <row r="74">
          <cell r="L74">
            <v>208.17</v>
          </cell>
          <cell r="N74">
            <v>238.62</v>
          </cell>
        </row>
        <row r="75">
          <cell r="L75">
            <v>214.57</v>
          </cell>
          <cell r="N75">
            <v>243.52</v>
          </cell>
        </row>
        <row r="76">
          <cell r="L76">
            <v>221.02</v>
          </cell>
          <cell r="N76">
            <v>248.46</v>
          </cell>
        </row>
        <row r="77">
          <cell r="L77">
            <v>227.51</v>
          </cell>
          <cell r="N77">
            <v>253.42</v>
          </cell>
        </row>
        <row r="78">
          <cell r="L78">
            <v>234.05</v>
          </cell>
          <cell r="N78">
            <v>258.42</v>
          </cell>
        </row>
        <row r="79">
          <cell r="L79">
            <v>240.64</v>
          </cell>
          <cell r="N79">
            <v>263.44</v>
          </cell>
        </row>
        <row r="80">
          <cell r="L80">
            <v>247.27</v>
          </cell>
          <cell r="N80">
            <v>268.49</v>
          </cell>
        </row>
        <row r="81">
          <cell r="L81">
            <v>253.95</v>
          </cell>
          <cell r="N81">
            <v>273.57</v>
          </cell>
        </row>
        <row r="82">
          <cell r="L82">
            <v>260.67</v>
          </cell>
          <cell r="N82">
            <v>278.68</v>
          </cell>
        </row>
        <row r="83">
          <cell r="L83">
            <v>267.43</v>
          </cell>
          <cell r="N83">
            <v>283.82</v>
          </cell>
        </row>
        <row r="84">
          <cell r="L84">
            <v>274.25</v>
          </cell>
          <cell r="N84">
            <v>288.99</v>
          </cell>
        </row>
        <row r="85">
          <cell r="L85">
            <v>281.10000000000002</v>
          </cell>
          <cell r="N85">
            <v>294.19</v>
          </cell>
        </row>
        <row r="86">
          <cell r="L86">
            <v>288.01</v>
          </cell>
          <cell r="N86">
            <v>299.41000000000003</v>
          </cell>
        </row>
        <row r="87">
          <cell r="L87">
            <v>294.95999999999998</v>
          </cell>
          <cell r="N87">
            <v>304.66000000000003</v>
          </cell>
        </row>
        <row r="88">
          <cell r="L88">
            <v>301.95</v>
          </cell>
          <cell r="N88">
            <v>309.94</v>
          </cell>
        </row>
        <row r="89">
          <cell r="L89">
            <v>308.99</v>
          </cell>
          <cell r="N89">
            <v>315.25</v>
          </cell>
        </row>
        <row r="90">
          <cell r="L90">
            <v>316.07</v>
          </cell>
          <cell r="N90">
            <v>320.58999999999997</v>
          </cell>
        </row>
        <row r="91">
          <cell r="L91">
            <v>323.2</v>
          </cell>
          <cell r="N91">
            <v>325.95</v>
          </cell>
        </row>
        <row r="92">
          <cell r="L92">
            <v>330.38</v>
          </cell>
          <cell r="N92">
            <v>331.34</v>
          </cell>
        </row>
        <row r="93">
          <cell r="L93">
            <v>337.6</v>
          </cell>
          <cell r="N93">
            <v>336.76</v>
          </cell>
        </row>
        <row r="94">
          <cell r="L94">
            <v>344.87</v>
          </cell>
          <cell r="N94">
            <v>342.21</v>
          </cell>
        </row>
        <row r="95">
          <cell r="L95">
            <v>352.18</v>
          </cell>
          <cell r="N95">
            <v>347.68</v>
          </cell>
        </row>
        <row r="96">
          <cell r="L96">
            <v>359.53</v>
          </cell>
          <cell r="N96">
            <v>353.18</v>
          </cell>
        </row>
        <row r="97">
          <cell r="L97">
            <v>366.94</v>
          </cell>
          <cell r="N97">
            <v>358.71</v>
          </cell>
        </row>
        <row r="98">
          <cell r="L98">
            <v>374.38</v>
          </cell>
          <cell r="N98">
            <v>364.27</v>
          </cell>
        </row>
        <row r="99">
          <cell r="L99">
            <v>381.88</v>
          </cell>
          <cell r="N99">
            <v>369.85</v>
          </cell>
        </row>
        <row r="100">
          <cell r="L100">
            <v>389.42</v>
          </cell>
          <cell r="N100">
            <v>375.46</v>
          </cell>
        </row>
        <row r="101">
          <cell r="L101">
            <v>397</v>
          </cell>
          <cell r="N101">
            <v>381.09</v>
          </cell>
        </row>
        <row r="102">
          <cell r="L102">
            <v>404.63</v>
          </cell>
          <cell r="N102">
            <v>386.76</v>
          </cell>
        </row>
        <row r="103">
          <cell r="L103">
            <v>412.3</v>
          </cell>
          <cell r="N103">
            <v>392.45</v>
          </cell>
        </row>
        <row r="104">
          <cell r="L104">
            <v>420.02</v>
          </cell>
          <cell r="N104">
            <v>398.16</v>
          </cell>
        </row>
        <row r="105">
          <cell r="L105">
            <v>427.79</v>
          </cell>
          <cell r="N105">
            <v>403.9</v>
          </cell>
        </row>
        <row r="106">
          <cell r="L106">
            <v>435.6</v>
          </cell>
          <cell r="N106">
            <v>409.67</v>
          </cell>
        </row>
        <row r="107">
          <cell r="L107">
            <v>443.46</v>
          </cell>
          <cell r="N107">
            <v>415.47</v>
          </cell>
        </row>
        <row r="108">
          <cell r="L108">
            <v>451.36</v>
          </cell>
          <cell r="N108">
            <v>421.29</v>
          </cell>
        </row>
        <row r="109">
          <cell r="L109">
            <v>459.3</v>
          </cell>
          <cell r="N109">
            <v>427.14</v>
          </cell>
        </row>
        <row r="110">
          <cell r="L110">
            <v>467.3</v>
          </cell>
          <cell r="N110">
            <v>433.01</v>
          </cell>
        </row>
        <row r="111">
          <cell r="L111">
            <v>475.34</v>
          </cell>
          <cell r="N111">
            <v>438.91</v>
          </cell>
        </row>
        <row r="112">
          <cell r="L112">
            <v>483.42</v>
          </cell>
          <cell r="N112">
            <v>444.84</v>
          </cell>
        </row>
        <row r="113">
          <cell r="L113">
            <v>491.55</v>
          </cell>
          <cell r="N113">
            <v>450.79</v>
          </cell>
        </row>
        <row r="114">
          <cell r="L114">
            <v>499.72</v>
          </cell>
          <cell r="N114">
            <v>456.77</v>
          </cell>
        </row>
        <row r="115">
          <cell r="L115">
            <v>507.94</v>
          </cell>
          <cell r="N115">
            <v>462.77</v>
          </cell>
        </row>
        <row r="116">
          <cell r="L116">
            <v>516.20000000000005</v>
          </cell>
          <cell r="N116">
            <v>468.8</v>
          </cell>
        </row>
        <row r="117">
          <cell r="L117">
            <v>524.51</v>
          </cell>
          <cell r="N117">
            <v>474.86</v>
          </cell>
        </row>
        <row r="118">
          <cell r="L118">
            <v>532.87</v>
          </cell>
          <cell r="N118">
            <v>480.94</v>
          </cell>
        </row>
        <row r="119">
          <cell r="L119">
            <v>541.27</v>
          </cell>
          <cell r="N119">
            <v>487.05</v>
          </cell>
        </row>
        <row r="120">
          <cell r="L120">
            <v>549.72</v>
          </cell>
          <cell r="N120">
            <v>493.18</v>
          </cell>
        </row>
        <row r="121">
          <cell r="L121">
            <v>558.21</v>
          </cell>
          <cell r="N121">
            <v>499.34</v>
          </cell>
        </row>
        <row r="122">
          <cell r="L122">
            <v>566.75</v>
          </cell>
          <cell r="N122">
            <v>505.52</v>
          </cell>
        </row>
        <row r="123">
          <cell r="L123">
            <v>575.33000000000004</v>
          </cell>
          <cell r="N123">
            <v>511.73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ompressor"/>
      <sheetName val="recycle valve"/>
      <sheetName val="Recuperator"/>
      <sheetName val="Heater"/>
      <sheetName val="Test Section"/>
      <sheetName val="Mixing"/>
      <sheetName val="Throttle Valve"/>
      <sheetName val="Water Sep."/>
      <sheetName val="Cooler"/>
      <sheetName val="heat sink post recup"/>
      <sheetName val="reaction equation"/>
    </sheetNames>
    <sheetDataSet>
      <sheetData sheetId="0">
        <row r="2">
          <cell r="H2" t="str">
            <v>CO2</v>
          </cell>
        </row>
      </sheetData>
      <sheetData sheetId="1">
        <row r="4">
          <cell r="C4">
            <v>38</v>
          </cell>
        </row>
      </sheetData>
      <sheetData sheetId="2">
        <row r="4">
          <cell r="B4" t="str">
            <v>Recycle Valve Outlet</v>
          </cell>
        </row>
      </sheetData>
      <sheetData sheetId="3">
        <row r="6">
          <cell r="E6">
            <v>-21882.781422134649</v>
          </cell>
        </row>
      </sheetData>
      <sheetData sheetId="4"/>
      <sheetData sheetId="5"/>
      <sheetData sheetId="6"/>
      <sheetData sheetId="7"/>
      <sheetData sheetId="8">
        <row r="7">
          <cell r="B7" t="str">
            <v>Seperator Outlet</v>
          </cell>
        </row>
      </sheetData>
      <sheetData sheetId="9">
        <row r="6">
          <cell r="D6">
            <v>15.6</v>
          </cell>
        </row>
      </sheetData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A8315-AA4F-4A9E-ABC0-F8B1E566BCB6}">
  <sheetPr codeName="Sheet1"/>
  <dimension ref="A1:AC61"/>
  <sheetViews>
    <sheetView zoomScaleNormal="100" workbookViewId="0">
      <selection activeCell="I11" sqref="I11"/>
    </sheetView>
  </sheetViews>
  <sheetFormatPr defaultRowHeight="15" x14ac:dyDescent="0.25"/>
  <cols>
    <col min="1" max="1" width="27.140625" bestFit="1" customWidth="1"/>
    <col min="6" max="7" width="9.140625" customWidth="1"/>
    <col min="28" max="28" width="15.28515625" bestFit="1" customWidth="1"/>
    <col min="29" max="29" width="12.28515625" bestFit="1" customWidth="1"/>
  </cols>
  <sheetData>
    <row r="1" spans="1:29" x14ac:dyDescent="0.25">
      <c r="A1" s="5" t="s">
        <v>15</v>
      </c>
    </row>
    <row r="2" spans="1:29" x14ac:dyDescent="0.25">
      <c r="A2" s="16" t="s">
        <v>57</v>
      </c>
      <c r="B2" s="12">
        <v>2500</v>
      </c>
      <c r="D2" t="s">
        <v>127</v>
      </c>
    </row>
    <row r="3" spans="1:29" x14ac:dyDescent="0.25">
      <c r="A3" t="s">
        <v>16</v>
      </c>
      <c r="B3" s="12">
        <v>48.5</v>
      </c>
      <c r="F3" s="7"/>
      <c r="G3" s="7"/>
      <c r="I3" s="6"/>
      <c r="J3" s="6"/>
      <c r="K3" s="6"/>
      <c r="L3" s="6"/>
      <c r="O3" t="s">
        <v>49</v>
      </c>
    </row>
    <row r="4" spans="1:29" x14ac:dyDescent="0.25">
      <c r="A4" t="s">
        <v>80</v>
      </c>
      <c r="B4" s="12">
        <v>15</v>
      </c>
      <c r="F4" s="7"/>
      <c r="G4" s="7"/>
      <c r="I4" s="6"/>
      <c r="J4" s="6"/>
      <c r="K4" s="6"/>
      <c r="L4" s="6"/>
      <c r="O4">
        <f>D33*7936.6</f>
        <v>95239.200000000012</v>
      </c>
      <c r="AB4" s="1" t="s">
        <v>44</v>
      </c>
      <c r="AC4" s="1" t="s">
        <v>46</v>
      </c>
    </row>
    <row r="5" spans="1:29" x14ac:dyDescent="0.25">
      <c r="A5" t="s">
        <v>17</v>
      </c>
      <c r="B5" s="12">
        <v>4</v>
      </c>
      <c r="I5" s="6"/>
      <c r="J5" s="6"/>
      <c r="K5" s="6"/>
      <c r="L5" s="6"/>
      <c r="AB5" s="1" t="s">
        <v>45</v>
      </c>
      <c r="AC5" s="1" t="s">
        <v>47</v>
      </c>
    </row>
    <row r="6" spans="1:29" x14ac:dyDescent="0.25">
      <c r="A6" t="s">
        <v>18</v>
      </c>
      <c r="B6" s="12">
        <v>50</v>
      </c>
      <c r="O6" t="s">
        <v>52</v>
      </c>
    </row>
    <row r="7" spans="1:29" x14ac:dyDescent="0.25">
      <c r="A7" t="s">
        <v>72</v>
      </c>
      <c r="B7">
        <f>H20-B6</f>
        <v>99.365620638612484</v>
      </c>
      <c r="C7" t="s">
        <v>86</v>
      </c>
      <c r="O7">
        <f>CONVERT(D32*100000,"Pa","psi")</f>
        <v>2775.5236696761785</v>
      </c>
    </row>
    <row r="8" spans="1:29" x14ac:dyDescent="0.25">
      <c r="A8" t="s">
        <v>77</v>
      </c>
      <c r="B8" s="12">
        <v>42</v>
      </c>
    </row>
    <row r="9" spans="1:29" x14ac:dyDescent="0.25">
      <c r="A9" t="s">
        <v>76</v>
      </c>
      <c r="B9" s="12">
        <v>2</v>
      </c>
    </row>
    <row r="10" spans="1:29" x14ac:dyDescent="0.25">
      <c r="A10" t="s">
        <v>48</v>
      </c>
      <c r="B10" s="12">
        <v>1</v>
      </c>
    </row>
    <row r="11" spans="1:29" x14ac:dyDescent="0.25">
      <c r="A11" t="s">
        <v>79</v>
      </c>
      <c r="B11" s="12">
        <v>100</v>
      </c>
    </row>
    <row r="12" spans="1:29" x14ac:dyDescent="0.25">
      <c r="A12" t="s">
        <v>84</v>
      </c>
      <c r="B12" s="12">
        <v>8</v>
      </c>
    </row>
    <row r="13" spans="1:29" x14ac:dyDescent="0.25">
      <c r="A13" t="s">
        <v>85</v>
      </c>
      <c r="B13" s="12">
        <v>2</v>
      </c>
    </row>
    <row r="14" spans="1:29" x14ac:dyDescent="0.25">
      <c r="A14" s="22" t="s">
        <v>81</v>
      </c>
      <c r="B14" s="22"/>
    </row>
    <row r="15" spans="1:29" x14ac:dyDescent="0.25">
      <c r="A15" t="s">
        <v>82</v>
      </c>
      <c r="B15">
        <v>43.88</v>
      </c>
    </row>
    <row r="16" spans="1:29" x14ac:dyDescent="0.25">
      <c r="A16" t="s">
        <v>83</v>
      </c>
      <c r="B16">
        <f>'Sunshot pump'!L3</f>
        <v>299.9496663181348</v>
      </c>
    </row>
    <row r="20" spans="3:22" x14ac:dyDescent="0.25">
      <c r="G20" s="14">
        <f>'Valve 2'!C3</f>
        <v>16.200955747245018</v>
      </c>
      <c r="H20" s="14">
        <f>'Valve 2'!D3</f>
        <v>149.36562063861248</v>
      </c>
      <c r="I20" s="21" t="str">
        <f>'Valve 1'!F4</f>
        <v>Subcooled liquid</v>
      </c>
      <c r="J20" s="21"/>
      <c r="N20" s="14">
        <f>'Valve 2'!C4</f>
        <v>11.298489902915605</v>
      </c>
      <c r="O20" s="14">
        <f>'Valve 2'!D4</f>
        <v>50</v>
      </c>
      <c r="P20" s="21" t="str">
        <f>'Valve 2'!F4</f>
        <v>Subcooled liquid</v>
      </c>
      <c r="Q20" s="21"/>
    </row>
    <row r="21" spans="3:22" x14ac:dyDescent="0.25">
      <c r="G21" s="14">
        <f>'Valve 2'!E3</f>
        <v>228.44247377942168</v>
      </c>
      <c r="H21" s="14">
        <f>'Valve 2'!H4</f>
        <v>4</v>
      </c>
      <c r="N21" s="14">
        <f>'Valve 2'!E4</f>
        <v>228.44247377942168</v>
      </c>
      <c r="O21" s="14">
        <f>'Valve 2'!H4</f>
        <v>4</v>
      </c>
      <c r="P21" t="s">
        <v>78</v>
      </c>
      <c r="Q21" t="str">
        <f>[1]!refprop("Qmass","CO2","HP","SI with C",N21,O20/10)</f>
        <v>#State is single phase, quality not calculated</v>
      </c>
    </row>
    <row r="23" spans="3:22" x14ac:dyDescent="0.25">
      <c r="F23" t="s">
        <v>0</v>
      </c>
      <c r="M23" t="s">
        <v>0</v>
      </c>
      <c r="T23" t="s">
        <v>0</v>
      </c>
    </row>
    <row r="25" spans="3:22" x14ac:dyDescent="0.25">
      <c r="C25" s="14">
        <f>'Valve 1'!C3</f>
        <v>17.212710403618363</v>
      </c>
      <c r="D25" s="14">
        <f>'Valve 1'!D3</f>
        <v>191.36562063861248</v>
      </c>
      <c r="E25" s="21" t="str">
        <f>'Valve 1'!F3</f>
        <v>Subcooled liquid</v>
      </c>
      <c r="F25" s="21"/>
      <c r="S25" s="14">
        <f>'Test Section'!C4</f>
        <v>11.298489902915605</v>
      </c>
      <c r="T25" s="14">
        <f>'Test Section'!D4</f>
        <v>50</v>
      </c>
      <c r="U25" s="21" t="str">
        <f>'Test Section'!F4</f>
        <v>Subcooled liquid</v>
      </c>
      <c r="V25" s="21"/>
    </row>
    <row r="26" spans="3:22" x14ac:dyDescent="0.25">
      <c r="C26" s="14">
        <f>'Valve 1'!E3</f>
        <v>228.44247377942168</v>
      </c>
      <c r="D26" s="14">
        <f>'Valve 1'!H4</f>
        <v>4</v>
      </c>
      <c r="S26" s="14">
        <f>'Test Section'!E4</f>
        <v>228.44247377942168</v>
      </c>
      <c r="T26" s="14">
        <f>'Test Section'!H4</f>
        <v>4</v>
      </c>
    </row>
    <row r="29" spans="3:22" x14ac:dyDescent="0.25">
      <c r="G29" s="14">
        <f>'Recycle Valve'!C3</f>
        <v>17.212710403618363</v>
      </c>
      <c r="H29" s="14">
        <f>'Recycle Valve'!D3</f>
        <v>191.36562063861248</v>
      </c>
      <c r="K29" t="s">
        <v>0</v>
      </c>
      <c r="N29" s="14">
        <f>'Recycle Valve'!C4</f>
        <v>17.173674011079868</v>
      </c>
      <c r="O29" s="14">
        <f>'Recycle Valve'!D4</f>
        <v>189.36562063861248</v>
      </c>
    </row>
    <row r="30" spans="3:22" x14ac:dyDescent="0.25">
      <c r="G30" s="14">
        <f>'Recycle Valve'!E3</f>
        <v>228.44247377942168</v>
      </c>
      <c r="H30" s="14">
        <f>'Recycle Valve'!H4</f>
        <v>8</v>
      </c>
      <c r="N30" s="14">
        <f>'Recycle Valve'!E4</f>
        <v>228.44247377942168</v>
      </c>
      <c r="O30" s="14">
        <f>'Recycle Valve'!H4</f>
        <v>8</v>
      </c>
    </row>
    <row r="32" spans="3:22" x14ac:dyDescent="0.25">
      <c r="C32" s="14">
        <f>'Sunshot pump'!C4</f>
        <v>17.212710403618363</v>
      </c>
      <c r="D32" s="14">
        <f>'Sunshot pump'!D4</f>
        <v>191.36562063861248</v>
      </c>
      <c r="E32" s="20" t="str">
        <f>'Sunshot pump'!G4</f>
        <v>Subcooled liquid</v>
      </c>
      <c r="F32" s="21"/>
      <c r="S32" s="14">
        <f>Cooler!C5</f>
        <v>11.298489902915605</v>
      </c>
      <c r="T32" s="14">
        <f>Cooler!D5</f>
        <v>50</v>
      </c>
      <c r="U32" s="20" t="str">
        <f>Cooler!F5</f>
        <v>Subcooled liquid</v>
      </c>
      <c r="V32" s="21"/>
    </row>
    <row r="33" spans="3:20" x14ac:dyDescent="0.25">
      <c r="C33" s="14">
        <f>'Sunshot pump'!E4</f>
        <v>228.44247377942168</v>
      </c>
      <c r="D33" s="14">
        <f>'Sunshot pump'!N4</f>
        <v>12</v>
      </c>
      <c r="S33" s="14">
        <f>Cooler!E5</f>
        <v>228.44247377942168</v>
      </c>
      <c r="T33" s="14">
        <f>Cooler!H5</f>
        <v>12</v>
      </c>
    </row>
    <row r="37" spans="3:20" x14ac:dyDescent="0.25">
      <c r="F37" s="14">
        <f>'Sunshot pump'!C3</f>
        <v>15</v>
      </c>
      <c r="G37" s="14">
        <f>'Sunshot pump'!D3</f>
        <v>48.5</v>
      </c>
      <c r="H37" s="20" t="str">
        <f>'Sunshot pump'!G3</f>
        <v>Subcooled liquid</v>
      </c>
      <c r="I37" s="20"/>
      <c r="O37" s="14">
        <f>Cooler!C6</f>
        <v>8.332468512580931</v>
      </c>
      <c r="P37" s="14">
        <f>Cooler!D6</f>
        <v>49</v>
      </c>
      <c r="Q37" s="20" t="str">
        <f>Cooler!F6</f>
        <v>Subcooled liquid</v>
      </c>
      <c r="R37" s="21"/>
    </row>
    <row r="38" spans="3:20" x14ac:dyDescent="0.25">
      <c r="F38" s="14">
        <f>'Sunshot pump'!E3</f>
        <v>220.10914044608833</v>
      </c>
      <c r="G38" s="14">
        <f>'Sunshot pump'!N4</f>
        <v>12</v>
      </c>
      <c r="O38" s="14">
        <f>Cooler!E6</f>
        <v>220.10914044608833</v>
      </c>
      <c r="P38" s="14">
        <f>Cooler!H6</f>
        <v>12</v>
      </c>
    </row>
    <row r="40" spans="3:20" x14ac:dyDescent="0.25">
      <c r="I40" s="1"/>
    </row>
    <row r="52" spans="3:5" x14ac:dyDescent="0.25">
      <c r="C52" t="s">
        <v>100</v>
      </c>
      <c r="D52" t="s">
        <v>88</v>
      </c>
      <c r="E52" t="s">
        <v>101</v>
      </c>
    </row>
    <row r="53" spans="3:5" x14ac:dyDescent="0.25">
      <c r="C53" s="2">
        <f>F38</f>
        <v>220.10914044608833</v>
      </c>
      <c r="D53" s="2">
        <f>G37</f>
        <v>48.5</v>
      </c>
      <c r="E53">
        <f>D53/10</f>
        <v>4.8499999999999996</v>
      </c>
    </row>
    <row r="54" spans="3:5" x14ac:dyDescent="0.25">
      <c r="C54" s="2">
        <f>C33</f>
        <v>228.44247377942168</v>
      </c>
      <c r="D54" s="2">
        <f>D32</f>
        <v>191.36562063861248</v>
      </c>
      <c r="E54">
        <f t="shared" ref="E54:E60" si="0">D54/10</f>
        <v>19.136562063861248</v>
      </c>
    </row>
    <row r="55" spans="3:5" x14ac:dyDescent="0.25">
      <c r="C55" s="2">
        <f>C26</f>
        <v>228.44247377942168</v>
      </c>
      <c r="D55" s="2">
        <f>D25</f>
        <v>191.36562063861248</v>
      </c>
      <c r="E55">
        <f t="shared" si="0"/>
        <v>19.136562063861248</v>
      </c>
    </row>
    <row r="56" spans="3:5" x14ac:dyDescent="0.25">
      <c r="C56" s="2">
        <f>G21</f>
        <v>228.44247377942168</v>
      </c>
      <c r="D56" s="2">
        <f>H20</f>
        <v>149.36562063861248</v>
      </c>
      <c r="E56">
        <f t="shared" si="0"/>
        <v>14.936562063861249</v>
      </c>
    </row>
    <row r="57" spans="3:5" x14ac:dyDescent="0.25">
      <c r="C57" s="2">
        <f>N21</f>
        <v>228.44247377942168</v>
      </c>
      <c r="D57" s="2">
        <f>O20</f>
        <v>50</v>
      </c>
      <c r="E57">
        <f t="shared" si="0"/>
        <v>5</v>
      </c>
    </row>
    <row r="58" spans="3:5" x14ac:dyDescent="0.25">
      <c r="C58" s="2">
        <f>S26</f>
        <v>228.44247377942168</v>
      </c>
      <c r="D58" s="2">
        <f>T25</f>
        <v>50</v>
      </c>
      <c r="E58">
        <f t="shared" si="0"/>
        <v>5</v>
      </c>
    </row>
    <row r="59" spans="3:5" x14ac:dyDescent="0.25">
      <c r="C59" s="2">
        <f>S33</f>
        <v>228.44247377942168</v>
      </c>
      <c r="D59" s="2">
        <f>T32</f>
        <v>50</v>
      </c>
      <c r="E59">
        <f t="shared" si="0"/>
        <v>5</v>
      </c>
    </row>
    <row r="60" spans="3:5" x14ac:dyDescent="0.25">
      <c r="C60" s="2">
        <f>O38</f>
        <v>220.10914044608833</v>
      </c>
      <c r="D60" s="2">
        <f>P37</f>
        <v>49</v>
      </c>
      <c r="E60">
        <f t="shared" si="0"/>
        <v>4.9000000000000004</v>
      </c>
    </row>
    <row r="61" spans="3:5" x14ac:dyDescent="0.25">
      <c r="C61" s="2"/>
    </row>
  </sheetData>
  <mergeCells count="9">
    <mergeCell ref="Q37:R37"/>
    <mergeCell ref="H37:I37"/>
    <mergeCell ref="U32:V32"/>
    <mergeCell ref="E32:F32"/>
    <mergeCell ref="A14:B14"/>
    <mergeCell ref="E25:F25"/>
    <mergeCell ref="I20:J20"/>
    <mergeCell ref="P20:Q20"/>
    <mergeCell ref="U25:V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l_trendline">
                <anchor moveWithCells="1" sizeWithCells="1">
                  <from>
                    <xdr:col>2</xdr:col>
                    <xdr:colOff>19050</xdr:colOff>
                    <xdr:row>1</xdr:row>
                    <xdr:rowOff>0</xdr:rowOff>
                  </from>
                  <to>
                    <xdr:col>3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446E-13EE-41E4-8C23-D513AF9C290D}">
  <sheetPr codeName="Sheet3"/>
  <dimension ref="A1:AD91"/>
  <sheetViews>
    <sheetView topLeftCell="J64" workbookViewId="0">
      <selection activeCell="AB68" sqref="AB68"/>
    </sheetView>
  </sheetViews>
  <sheetFormatPr defaultRowHeight="15" x14ac:dyDescent="0.25"/>
  <cols>
    <col min="2" max="2" width="12.28515625" bestFit="1" customWidth="1"/>
    <col min="3" max="3" width="15.7109375" bestFit="1" customWidth="1"/>
    <col min="4" max="4" width="13.5703125" bestFit="1" customWidth="1"/>
    <col min="5" max="5" width="15.28515625" bestFit="1" customWidth="1"/>
    <col min="6" max="6" width="16.28515625" bestFit="1" customWidth="1"/>
    <col min="7" max="7" width="19.7109375" customWidth="1"/>
    <col min="8" max="8" width="16.28515625" bestFit="1" customWidth="1"/>
    <col min="9" max="9" width="16.28515625" customWidth="1"/>
    <col min="10" max="10" width="27.85546875" bestFit="1" customWidth="1"/>
    <col min="11" max="12" width="28.85546875" bestFit="1" customWidth="1"/>
    <col min="18" max="18" width="12" bestFit="1" customWidth="1"/>
  </cols>
  <sheetData>
    <row r="1" spans="2:18" x14ac:dyDescent="0.25"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29</v>
      </c>
      <c r="J1" t="s">
        <v>43</v>
      </c>
      <c r="K1" t="s">
        <v>7</v>
      </c>
      <c r="L1" t="s">
        <v>8</v>
      </c>
      <c r="N1" t="s">
        <v>9</v>
      </c>
    </row>
    <row r="2" spans="2:18" x14ac:dyDescent="0.25">
      <c r="N2" t="str">
        <f>[3]Summary!H2</f>
        <v>CO2</v>
      </c>
    </row>
    <row r="3" spans="2:18" x14ac:dyDescent="0.25">
      <c r="B3" t="s">
        <v>11</v>
      </c>
      <c r="C3" s="8">
        <f>'Statepoint Summary'!B4</f>
        <v>15</v>
      </c>
      <c r="D3" s="9">
        <f>'Statepoint Summary'!B3</f>
        <v>48.5</v>
      </c>
      <c r="E3" s="2">
        <f>Cooler!E6</f>
        <v>220.10914044608833</v>
      </c>
      <c r="F3" s="2">
        <f>[1]!refprop("S",N2,"HP","SI with C",E3,D3/10)</f>
        <v>1.067071010564111</v>
      </c>
      <c r="G3" s="2" t="str">
        <f>[1]!refprop("Phase", $N$2, "HP", "SI with C", E3,D3/10)</f>
        <v>Subcooled liquid</v>
      </c>
      <c r="H3" s="2">
        <f>[1]!refprop("D",N$2,"TP","SI with C",C3,D3/10)</f>
        <v>144.02416422154275</v>
      </c>
      <c r="I3" s="2">
        <v>1.52</v>
      </c>
      <c r="J3" s="2">
        <f>[1]!refprop("Cp", $N$2, "TP", "SI with C", C3,D3/10)</f>
        <v>2.5486536260721175</v>
      </c>
      <c r="K3" s="13">
        <f>N4/H3</f>
        <v>8.3319351755037449E-2</v>
      </c>
      <c r="L3" s="13">
        <f>K3*3600</f>
        <v>299.9496663181348</v>
      </c>
      <c r="N3" t="s">
        <v>10</v>
      </c>
    </row>
    <row r="4" spans="2:18" x14ac:dyDescent="0.25">
      <c r="B4" t="s">
        <v>12</v>
      </c>
      <c r="C4" s="8">
        <f>C3+R15*(1-0.4)/(J3*H3*K3)</f>
        <v>17.212710403618363</v>
      </c>
      <c r="D4" s="8">
        <f>0.0981*I9*I4+D3</f>
        <v>191.36562063861248</v>
      </c>
      <c r="E4" s="2">
        <f>[1]!refprop("H", $N$2, "TP", "SI with C", C4,D4/10)</f>
        <v>228.44247377942168</v>
      </c>
      <c r="F4" s="2">
        <f>[1]!refprop("S",N2,"HP","SI with C",E4,D4/10)</f>
        <v>1.0416381551225036</v>
      </c>
      <c r="G4" s="2" t="str">
        <f>[1]!refprop("Phase", $N$2, "HP", "SI with C", E4,D4/10)</f>
        <v>Subcooled liquid</v>
      </c>
      <c r="H4" s="2">
        <f>[1]!refprop("D",N$2,"HP","SI with C",E4,D4/10)</f>
        <v>944.59127113994066</v>
      </c>
      <c r="I4" s="2">
        <v>1.52</v>
      </c>
      <c r="J4" s="2">
        <f>[1]!refprop("Cp", $N$2, "TP", "SI with C", C4,D4/10)</f>
        <v>2.0776530754475351</v>
      </c>
      <c r="K4" s="3">
        <f>N4/H4</f>
        <v>1.2703907358278147E-2</v>
      </c>
      <c r="L4">
        <f>K4*3600</f>
        <v>45.734066489801329</v>
      </c>
      <c r="N4" s="2">
        <f>'Statepoint Summary'!B5+'Statepoint Summary'!B12</f>
        <v>12</v>
      </c>
    </row>
    <row r="7" spans="2:18" x14ac:dyDescent="0.25">
      <c r="E7">
        <f>IF('Statepoint Summary'!B2=3000,'Sunshot pump'!I9,'Sunshot pump'!G9)</f>
        <v>2048.01393904</v>
      </c>
    </row>
    <row r="8" spans="2:18" x14ac:dyDescent="0.25">
      <c r="D8" s="1" t="s">
        <v>53</v>
      </c>
      <c r="G8" s="1" t="s">
        <v>53</v>
      </c>
      <c r="I8" s="1" t="s">
        <v>53</v>
      </c>
      <c r="J8" s="1" t="s">
        <v>66</v>
      </c>
      <c r="K8" s="1" t="s">
        <v>67</v>
      </c>
      <c r="L8" s="18" t="s">
        <v>68</v>
      </c>
    </row>
    <row r="9" spans="2:18" x14ac:dyDescent="0.25">
      <c r="C9">
        <f>'Statepoint Summary'!B15</f>
        <v>43.88</v>
      </c>
      <c r="D9" s="1">
        <f>-0.0685*C9^2+2.3866*C9+1450.8</f>
        <v>1423.6303816</v>
      </c>
      <c r="G9" s="1">
        <f>-0.0684*C9^2+2.5915*C9+2066</f>
        <v>2048.01393904</v>
      </c>
      <c r="I9" s="1">
        <f>-0.0684*C9^2+K71*C9+L70</f>
        <v>958.10947904</v>
      </c>
      <c r="J9" s="1">
        <v>1200</v>
      </c>
      <c r="K9" s="1">
        <f>SQRT((J9/G9)*F13^2)</f>
        <v>2736.5300093846354</v>
      </c>
      <c r="L9" s="1">
        <f>L3*J13/F13</f>
        <v>209.75501141128311</v>
      </c>
    </row>
    <row r="11" spans="2:18" x14ac:dyDescent="0.25">
      <c r="B11" s="1" t="s">
        <v>20</v>
      </c>
      <c r="C11" s="1" t="s">
        <v>21</v>
      </c>
      <c r="D11" s="1" t="s">
        <v>22</v>
      </c>
      <c r="F11" s="1" t="s">
        <v>20</v>
      </c>
      <c r="G11" s="1" t="s">
        <v>21</v>
      </c>
      <c r="H11" s="1" t="s">
        <v>22</v>
      </c>
      <c r="I11" s="7"/>
      <c r="J11" s="1" t="s">
        <v>20</v>
      </c>
      <c r="K11" s="1" t="s">
        <v>21</v>
      </c>
      <c r="L11" s="1" t="s">
        <v>22</v>
      </c>
    </row>
    <row r="12" spans="2:18" x14ac:dyDescent="0.25">
      <c r="B12" s="1" t="s">
        <v>23</v>
      </c>
      <c r="C12" s="1" t="s">
        <v>56</v>
      </c>
      <c r="D12" s="1" t="s">
        <v>25</v>
      </c>
      <c r="F12" s="1" t="s">
        <v>23</v>
      </c>
      <c r="G12" s="1" t="s">
        <v>24</v>
      </c>
      <c r="H12" s="1" t="s">
        <v>25</v>
      </c>
      <c r="I12" s="7"/>
      <c r="J12" s="1" t="s">
        <v>23</v>
      </c>
      <c r="K12" s="1" t="s">
        <v>24</v>
      </c>
      <c r="L12" s="1" t="s">
        <v>25</v>
      </c>
    </row>
    <row r="13" spans="2:18" x14ac:dyDescent="0.25">
      <c r="B13" s="1">
        <v>3000</v>
      </c>
      <c r="C13" s="1">
        <v>0</v>
      </c>
      <c r="D13" s="1">
        <v>1446.6130850408333</v>
      </c>
      <c r="F13" s="15">
        <v>3575</v>
      </c>
      <c r="G13" s="1">
        <v>2.5204969103552601</v>
      </c>
      <c r="H13" s="1">
        <v>2065.7463809258002</v>
      </c>
      <c r="I13" s="7"/>
      <c r="J13" s="15">
        <f>'Statepoint Summary'!B2</f>
        <v>2500</v>
      </c>
      <c r="K13" s="1">
        <f>G13*($J$13/$F$13)</f>
        <v>1.7625852519966854</v>
      </c>
      <c r="L13" s="1">
        <f>H13*($J$13^2)/($F$13^2)</f>
        <v>1010.1943278037069</v>
      </c>
    </row>
    <row r="14" spans="2:18" x14ac:dyDescent="0.25">
      <c r="C14" s="1">
        <v>8.5544599494713296</v>
      </c>
      <c r="D14" s="1">
        <v>1474.2154534696069</v>
      </c>
      <c r="F14" s="7"/>
      <c r="G14" s="1">
        <v>4.9052390564157697</v>
      </c>
      <c r="H14" s="1">
        <v>2075.9949446834098</v>
      </c>
      <c r="I14" s="7"/>
      <c r="J14" s="7"/>
      <c r="K14" s="1">
        <f t="shared" ref="K14:K58" si="0">G14*($J$13/$F$13)</f>
        <v>3.43023710238865</v>
      </c>
      <c r="L14" s="1">
        <f t="shared" ref="L14:L58" si="1">H14*($J$13^2)/($F$13^2)</f>
        <v>1015.2060954977798</v>
      </c>
      <c r="O14" s="1" t="s">
        <v>54</v>
      </c>
      <c r="R14" s="1" t="s">
        <v>55</v>
      </c>
    </row>
    <row r="15" spans="2:18" x14ac:dyDescent="0.25">
      <c r="C15" s="1">
        <v>17.108919898942659</v>
      </c>
      <c r="D15" s="1">
        <v>1477.9501440657243</v>
      </c>
      <c r="F15" s="7"/>
      <c r="G15" s="1">
        <v>7.2902264100920098</v>
      </c>
      <c r="H15" s="1">
        <v>2082.8273205218202</v>
      </c>
      <c r="I15" s="7"/>
      <c r="J15" s="7"/>
      <c r="K15" s="1">
        <f t="shared" si="0"/>
        <v>5.0980604266377689</v>
      </c>
      <c r="L15" s="1">
        <f t="shared" si="1"/>
        <v>1018.5472739604969</v>
      </c>
      <c r="O15" s="1">
        <f>0.00002*L4^3-0.011*L4^2+1.3619*L4+1.365</f>
        <v>42.55572383218054</v>
      </c>
      <c r="R15" s="1">
        <f>I9*L3*H3*9.81/(1000*3600)</f>
        <v>112.7886478725888</v>
      </c>
    </row>
    <row r="16" spans="2:18" x14ac:dyDescent="0.25">
      <c r="C16" s="1">
        <v>25.663379848413985</v>
      </c>
      <c r="D16" s="1">
        <v>1468.0338966208617</v>
      </c>
      <c r="F16" s="7"/>
      <c r="G16" s="1">
        <v>9.6752137637682498</v>
      </c>
      <c r="H16" s="1">
        <v>2089.6596963602301</v>
      </c>
      <c r="I16" s="7"/>
      <c r="J16" s="7"/>
      <c r="K16" s="1">
        <f t="shared" si="0"/>
        <v>6.7658837508868874</v>
      </c>
      <c r="L16" s="1">
        <f t="shared" si="1"/>
        <v>1021.8884524232139</v>
      </c>
    </row>
    <row r="17" spans="3:18" x14ac:dyDescent="0.25">
      <c r="C17" s="1">
        <v>34.217839797885318</v>
      </c>
      <c r="D17" s="1">
        <v>1440.9895854075996</v>
      </c>
      <c r="F17" s="7"/>
      <c r="G17" s="1">
        <v>12.0603645891883</v>
      </c>
      <c r="H17" s="1">
        <v>2094.2146135858402</v>
      </c>
      <c r="I17" s="7"/>
      <c r="J17" s="7"/>
      <c r="K17" s="1">
        <f t="shared" si="0"/>
        <v>8.4338213910407696</v>
      </c>
      <c r="L17" s="1">
        <f t="shared" si="1"/>
        <v>1024.1159047316935</v>
      </c>
      <c r="N17" s="1" t="s">
        <v>41</v>
      </c>
      <c r="O17" s="1" t="s">
        <v>40</v>
      </c>
      <c r="Q17" s="1" t="s">
        <v>41</v>
      </c>
      <c r="R17" s="1" t="s">
        <v>42</v>
      </c>
    </row>
    <row r="18" spans="3:18" x14ac:dyDescent="0.25">
      <c r="C18" s="1">
        <v>42.772299747356648</v>
      </c>
      <c r="D18" s="1">
        <v>1417.4653273998729</v>
      </c>
      <c r="F18" s="7"/>
      <c r="G18" s="1">
        <v>14.4455644561315</v>
      </c>
      <c r="H18" s="1">
        <v>2098.0862932276</v>
      </c>
      <c r="I18" s="7"/>
      <c r="J18" s="7"/>
      <c r="K18" s="1">
        <f t="shared" si="0"/>
        <v>10.101793325966083</v>
      </c>
      <c r="L18" s="1">
        <f t="shared" si="1"/>
        <v>1026.009239193897</v>
      </c>
      <c r="N18" s="1">
        <v>2.67169250191139</v>
      </c>
      <c r="O18" s="1">
        <v>4.0558661392783204</v>
      </c>
      <c r="Q18" s="1">
        <v>30.2535611970292</v>
      </c>
      <c r="R18" s="1">
        <v>506.13041382024898</v>
      </c>
    </row>
    <row r="19" spans="3:18" x14ac:dyDescent="0.25">
      <c r="C19" s="1">
        <v>51.32675969682797</v>
      </c>
      <c r="D19" s="1">
        <v>1387.051209154482</v>
      </c>
      <c r="F19" s="7"/>
      <c r="G19" s="1">
        <v>16.830911447644102</v>
      </c>
      <c r="H19" s="1">
        <v>2099.9082601178502</v>
      </c>
      <c r="I19" s="7"/>
      <c r="J19" s="7"/>
      <c r="K19" s="1">
        <f t="shared" si="0"/>
        <v>11.769868145205665</v>
      </c>
      <c r="L19" s="1">
        <f t="shared" si="1"/>
        <v>1026.9002201172921</v>
      </c>
      <c r="N19" s="1">
        <v>4.1912753897087898</v>
      </c>
      <c r="O19" s="1">
        <v>6.3019585194960799</v>
      </c>
      <c r="Q19" s="1">
        <v>32.6376361600325</v>
      </c>
      <c r="R19" s="1">
        <v>519.98636785326903</v>
      </c>
    </row>
    <row r="20" spans="3:18" x14ac:dyDescent="0.25">
      <c r="C20" s="1">
        <v>59.881219646299307</v>
      </c>
      <c r="D20" s="1">
        <v>1349.8545493667173</v>
      </c>
      <c r="F20" s="7"/>
      <c r="G20" s="1">
        <v>19.2163892165518</v>
      </c>
      <c r="H20" s="1">
        <v>2099.9082601178502</v>
      </c>
      <c r="I20" s="7"/>
      <c r="J20" s="7"/>
      <c r="K20" s="1">
        <f t="shared" si="0"/>
        <v>13.43803441716909</v>
      </c>
      <c r="L20" s="1">
        <f t="shared" si="1"/>
        <v>1026.9002201172921</v>
      </c>
      <c r="N20" s="1">
        <v>5.7106022356372801</v>
      </c>
      <c r="O20" s="1">
        <v>8.4051329837946405</v>
      </c>
      <c r="Q20" s="1">
        <v>35.0217111230359</v>
      </c>
      <c r="R20" s="1">
        <v>533.84232188628903</v>
      </c>
    </row>
    <row r="21" spans="3:18" x14ac:dyDescent="0.25">
      <c r="C21" s="1">
        <v>68.435679595770637</v>
      </c>
      <c r="D21" s="1">
        <v>1302.3982223091593</v>
      </c>
      <c r="F21" s="7"/>
      <c r="G21" s="1">
        <v>21.6021121930753</v>
      </c>
      <c r="H21" s="1">
        <v>2096.49207219864</v>
      </c>
      <c r="I21" s="7"/>
      <c r="J21" s="7"/>
      <c r="K21" s="1">
        <f t="shared" si="0"/>
        <v>15.10637216298972</v>
      </c>
      <c r="L21" s="1">
        <f t="shared" si="1"/>
        <v>1025.2296308859309</v>
      </c>
      <c r="N21" s="1">
        <v>7.3383020031055297</v>
      </c>
      <c r="O21" s="1">
        <v>10.574569919940499</v>
      </c>
      <c r="Q21" s="1">
        <v>37.405459399736898</v>
      </c>
      <c r="R21" s="1">
        <v>545.87477237708094</v>
      </c>
    </row>
    <row r="22" spans="3:18" x14ac:dyDescent="0.25">
      <c r="C22" s="1">
        <v>76.990139545241973</v>
      </c>
      <c r="D22" s="1">
        <v>1241.2694934715635</v>
      </c>
      <c r="F22" s="7"/>
      <c r="G22" s="1">
        <v>23.987818822424298</v>
      </c>
      <c r="H22" s="1">
        <v>2093.3036301407201</v>
      </c>
      <c r="I22" s="7"/>
      <c r="J22" s="7"/>
      <c r="K22" s="1">
        <f t="shared" si="0"/>
        <v>16.77469847721979</v>
      </c>
      <c r="L22" s="1">
        <f t="shared" si="1"/>
        <v>1023.6704142699987</v>
      </c>
      <c r="N22" s="1">
        <v>9.0744963120012798</v>
      </c>
      <c r="O22" s="1">
        <v>12.8781553379955</v>
      </c>
      <c r="Q22" s="1">
        <v>39.788880990135503</v>
      </c>
      <c r="R22" s="1">
        <v>556.08371932564</v>
      </c>
    </row>
    <row r="23" spans="3:18" x14ac:dyDescent="0.25">
      <c r="C23" s="1">
        <v>85.544599494713296</v>
      </c>
      <c r="D23" s="1">
        <v>1159.6643575724972</v>
      </c>
      <c r="F23" s="7"/>
      <c r="G23" s="1">
        <v>26.3735908404709</v>
      </c>
      <c r="H23" s="1">
        <v>2089.20420463767</v>
      </c>
      <c r="I23" s="7"/>
      <c r="J23" s="7"/>
      <c r="K23" s="1">
        <f t="shared" si="0"/>
        <v>18.443070517811819</v>
      </c>
      <c r="L23" s="1">
        <f t="shared" si="1"/>
        <v>1021.6657071923663</v>
      </c>
      <c r="N23" s="1">
        <v>10.8104441805982</v>
      </c>
      <c r="O23" s="1">
        <v>15.0441822619782</v>
      </c>
      <c r="Q23" s="1">
        <v>42.172547595260902</v>
      </c>
      <c r="R23" s="1">
        <v>567.66029393087399</v>
      </c>
    </row>
    <row r="24" spans="3:18" x14ac:dyDescent="0.25">
      <c r="C24" s="1">
        <v>94.099059444184633</v>
      </c>
      <c r="D24" s="1">
        <v>1054.2344713188909</v>
      </c>
      <c r="F24" s="7"/>
      <c r="G24" s="1">
        <v>28.7594119000407</v>
      </c>
      <c r="H24" s="1">
        <v>2084.4215415507801</v>
      </c>
      <c r="I24" s="7"/>
      <c r="J24" s="7"/>
      <c r="K24" s="1">
        <f t="shared" si="0"/>
        <v>20.111476853175315</v>
      </c>
      <c r="L24" s="1">
        <f t="shared" si="1"/>
        <v>1019.326882268463</v>
      </c>
      <c r="N24" s="1">
        <v>12.654773505463799</v>
      </c>
      <c r="O24" s="1">
        <v>17.281235588339001</v>
      </c>
      <c r="Q24" s="1">
        <v>44.556949244566603</v>
      </c>
      <c r="R24" s="1">
        <v>583.33975150612298</v>
      </c>
    </row>
    <row r="25" spans="3:18" x14ac:dyDescent="0.25">
      <c r="G25" s="1">
        <v>31.145314695482298</v>
      </c>
      <c r="H25" s="1">
        <v>2078.5001491574999</v>
      </c>
      <c r="I25" s="7"/>
      <c r="K25" s="1">
        <f t="shared" si="0"/>
        <v>21.779940346491117</v>
      </c>
      <c r="L25" s="1">
        <f t="shared" si="1"/>
        <v>1016.4311942674458</v>
      </c>
      <c r="N25" s="1">
        <v>14.607277675034499</v>
      </c>
      <c r="O25" s="1">
        <v>19.473988498815199</v>
      </c>
      <c r="Q25" s="1">
        <v>46.940860864418802</v>
      </c>
      <c r="R25" s="1">
        <v>596.28395376802803</v>
      </c>
    </row>
    <row r="26" spans="3:18" x14ac:dyDescent="0.25">
      <c r="G26" s="1">
        <v>33.531201143749598</v>
      </c>
      <c r="H26" s="1">
        <v>2072.8065026254899</v>
      </c>
      <c r="I26" s="7"/>
      <c r="K26" s="1">
        <f t="shared" si="0"/>
        <v>23.448392408216503</v>
      </c>
      <c r="L26" s="1">
        <f t="shared" si="1"/>
        <v>1013.6468788818474</v>
      </c>
      <c r="N26" s="1">
        <v>16.559582700929401</v>
      </c>
      <c r="O26" s="1">
        <v>21.555583030243199</v>
      </c>
      <c r="Q26" s="1">
        <v>49.324527469544201</v>
      </c>
      <c r="R26" s="1">
        <v>607.86052837326099</v>
      </c>
    </row>
    <row r="27" spans="3:18" x14ac:dyDescent="0.25">
      <c r="G27" s="1">
        <v>35.9172347165863</v>
      </c>
      <c r="H27" s="1">
        <v>2065.0631433419599</v>
      </c>
      <c r="I27" s="7"/>
      <c r="K27" s="1">
        <f t="shared" si="0"/>
        <v>25.116947354256151</v>
      </c>
      <c r="L27" s="1">
        <f t="shared" si="1"/>
        <v>1009.8602099574355</v>
      </c>
      <c r="N27" s="1">
        <v>18.728648376365399</v>
      </c>
      <c r="O27" s="1">
        <v>23.777967203028901</v>
      </c>
      <c r="Q27" s="1">
        <v>51.708030731518399</v>
      </c>
      <c r="R27" s="1">
        <v>618.525351207379</v>
      </c>
    </row>
    <row r="28" spans="3:18" x14ac:dyDescent="0.25">
      <c r="G28" s="1">
        <v>38.303268289423002</v>
      </c>
      <c r="H28" s="1">
        <v>2057.3197840584298</v>
      </c>
      <c r="I28" s="7"/>
      <c r="K28" s="1">
        <f t="shared" si="0"/>
        <v>26.785502300295803</v>
      </c>
      <c r="L28" s="1">
        <f t="shared" si="1"/>
        <v>1006.0735410330235</v>
      </c>
      <c r="N28" s="1">
        <v>21.114174175431799</v>
      </c>
      <c r="O28" s="1">
        <v>25.973392917881402</v>
      </c>
      <c r="Q28" s="1">
        <v>54.091615665068304</v>
      </c>
      <c r="R28" s="1">
        <v>629.64604992705404</v>
      </c>
    </row>
    <row r="29" spans="3:18" x14ac:dyDescent="0.25">
      <c r="G29" s="1">
        <v>40.689399945306</v>
      </c>
      <c r="H29" s="1">
        <v>2048.2099496072101</v>
      </c>
      <c r="I29" s="7"/>
      <c r="K29" s="1">
        <f t="shared" si="0"/>
        <v>28.454125835878322</v>
      </c>
      <c r="L29" s="1">
        <f t="shared" si="1"/>
        <v>1001.6186364160644</v>
      </c>
      <c r="N29" s="1">
        <v>23.499585919483899</v>
      </c>
      <c r="O29" s="1">
        <v>28.1051551974608</v>
      </c>
      <c r="Q29" s="1">
        <v>56.475935642798397</v>
      </c>
      <c r="R29" s="1">
        <v>644.86963161674703</v>
      </c>
    </row>
    <row r="30" spans="3:18" x14ac:dyDescent="0.25">
      <c r="G30" s="1">
        <v>43.075498906840203</v>
      </c>
      <c r="H30" s="1">
        <v>2039.55560687856</v>
      </c>
      <c r="I30" s="7"/>
      <c r="K30" s="1">
        <f t="shared" si="0"/>
        <v>30.122726508279861</v>
      </c>
      <c r="L30" s="1">
        <f t="shared" si="1"/>
        <v>997.3864770299574</v>
      </c>
      <c r="N30" s="1">
        <v>25.8847369663603</v>
      </c>
      <c r="O30" s="1">
        <v>30.091401053558901</v>
      </c>
      <c r="Q30" s="1">
        <v>58.859765591075003</v>
      </c>
      <c r="R30" s="1">
        <v>657.35795799309403</v>
      </c>
    </row>
    <row r="31" spans="3:18" x14ac:dyDescent="0.25">
      <c r="G31" s="1">
        <v>45.461597868374497</v>
      </c>
      <c r="H31" s="1">
        <v>2030.90126414991</v>
      </c>
      <c r="I31" s="7"/>
      <c r="K31" s="1">
        <f t="shared" si="0"/>
        <v>31.791327180681463</v>
      </c>
      <c r="L31" s="1">
        <f t="shared" si="1"/>
        <v>993.1543176438505</v>
      </c>
      <c r="N31" s="1">
        <v>28.269643609634599</v>
      </c>
      <c r="O31" s="1">
        <v>31.941225262643201</v>
      </c>
      <c r="Q31" s="1">
        <v>61.243350524624802</v>
      </c>
      <c r="R31" s="1">
        <v>668.47865671276895</v>
      </c>
    </row>
    <row r="32" spans="3:18" x14ac:dyDescent="0.25">
      <c r="G32" s="1">
        <v>47.847729524257502</v>
      </c>
      <c r="H32" s="1">
        <v>2021.7914296987001</v>
      </c>
      <c r="I32" s="7"/>
      <c r="K32" s="1">
        <f t="shared" si="0"/>
        <v>33.45995071626399</v>
      </c>
      <c r="L32" s="1">
        <f t="shared" si="1"/>
        <v>988.6994130268962</v>
      </c>
      <c r="N32" s="1">
        <v>30.654387317174201</v>
      </c>
      <c r="O32" s="1">
        <v>33.700101707051701</v>
      </c>
      <c r="Q32" s="1">
        <v>63.554341678212801</v>
      </c>
      <c r="R32" s="1">
        <v>677.23095398726502</v>
      </c>
    </row>
    <row r="33" spans="7:18" x14ac:dyDescent="0.25">
      <c r="G33" s="1">
        <v>50.233926568838001</v>
      </c>
      <c r="H33" s="1">
        <v>2011.77061180236</v>
      </c>
      <c r="I33" s="7"/>
      <c r="K33" s="1">
        <f t="shared" si="0"/>
        <v>35.128619978208391</v>
      </c>
      <c r="L33" s="1">
        <f t="shared" si="1"/>
        <v>983.79901794824195</v>
      </c>
      <c r="N33" s="1">
        <v>33.038919208258498</v>
      </c>
      <c r="O33" s="1">
        <v>35.340746057381502</v>
      </c>
      <c r="Q33" s="1">
        <v>66.010683734875599</v>
      </c>
      <c r="R33" s="1">
        <v>691.63180592323397</v>
      </c>
    </row>
    <row r="34" spans="7:18" x14ac:dyDescent="0.25">
      <c r="G34" s="1">
        <v>52.620156307767303</v>
      </c>
      <c r="H34" s="1">
        <v>2001.2943021834701</v>
      </c>
      <c r="I34" s="7"/>
      <c r="K34" s="1">
        <f t="shared" si="0"/>
        <v>36.797312103333773</v>
      </c>
      <c r="L34" s="1">
        <f t="shared" si="1"/>
        <v>978.67587763874519</v>
      </c>
      <c r="N34" s="1">
        <v>35.423320750755003</v>
      </c>
      <c r="O34" s="1">
        <v>36.908632195970704</v>
      </c>
      <c r="Q34" s="1">
        <v>68.394840369454499</v>
      </c>
      <c r="R34" s="1">
        <v>705.94363584181303</v>
      </c>
    </row>
    <row r="35" spans="7:18" x14ac:dyDescent="0.25">
      <c r="G35" s="1">
        <v>55.006353352347801</v>
      </c>
      <c r="H35" s="1">
        <v>1991.27348428713</v>
      </c>
      <c r="I35" s="7"/>
      <c r="K35" s="1">
        <f t="shared" si="0"/>
        <v>38.465981365278182</v>
      </c>
      <c r="L35" s="1">
        <f t="shared" si="1"/>
        <v>973.77548256009106</v>
      </c>
      <c r="N35" s="1">
        <v>37.807591944663798</v>
      </c>
      <c r="O35" s="1">
        <v>38.4037601228193</v>
      </c>
      <c r="Q35" s="1">
        <v>70.778833660882299</v>
      </c>
      <c r="R35" s="1">
        <v>719.34371398927397</v>
      </c>
    </row>
    <row r="36" spans="7:18" x14ac:dyDescent="0.25">
      <c r="G36" s="1">
        <v>57.392713868672203</v>
      </c>
      <c r="H36" s="1">
        <v>1978.9752077779999</v>
      </c>
      <c r="I36" s="7"/>
      <c r="K36" s="1">
        <f t="shared" si="0"/>
        <v>40.134764943127415</v>
      </c>
      <c r="L36" s="1">
        <f t="shared" si="1"/>
        <v>967.76136132720421</v>
      </c>
      <c r="N36" s="1">
        <v>40.191716496411203</v>
      </c>
      <c r="O36" s="1">
        <v>39.817035061459499</v>
      </c>
      <c r="Q36" s="1">
        <v>73.162336922856497</v>
      </c>
      <c r="R36" s="1">
        <v>730.008536823393</v>
      </c>
    </row>
    <row r="37" spans="7:18" x14ac:dyDescent="0.25">
      <c r="G37" s="1">
        <v>59.779008996298998</v>
      </c>
      <c r="H37" s="1">
        <v>1967.5879147139799</v>
      </c>
      <c r="I37" s="7"/>
      <c r="K37" s="1">
        <f t="shared" si="0"/>
        <v>41.80350279461468</v>
      </c>
      <c r="L37" s="1">
        <f t="shared" si="1"/>
        <v>962.19273055600752</v>
      </c>
      <c r="N37" s="1">
        <v>42.575515176689102</v>
      </c>
      <c r="O37" s="1">
        <v>41.048414470748199</v>
      </c>
      <c r="Q37" s="1">
        <v>75.546003527981995</v>
      </c>
      <c r="R37" s="1">
        <v>741.58511142862596</v>
      </c>
    </row>
    <row r="38" spans="7:18" x14ac:dyDescent="0.25">
      <c r="G38" s="1">
        <v>62.165255082402702</v>
      </c>
      <c r="H38" s="1">
        <v>1956.88385923381</v>
      </c>
      <c r="I38" s="7"/>
      <c r="K38" s="1">
        <f t="shared" si="0"/>
        <v>43.472206351330556</v>
      </c>
      <c r="L38" s="1">
        <f t="shared" si="1"/>
        <v>956.95821763108711</v>
      </c>
      <c r="N38" s="1">
        <v>44.959346444113997</v>
      </c>
      <c r="O38" s="1">
        <v>42.297983432971897</v>
      </c>
      <c r="Q38" s="1">
        <v>77.929588461531793</v>
      </c>
      <c r="R38" s="1">
        <v>752.70581014829895</v>
      </c>
    </row>
    <row r="39" spans="7:18" x14ac:dyDescent="0.25">
      <c r="G39" s="1">
        <v>64.551599251552602</v>
      </c>
      <c r="H39" s="1">
        <v>1944.8133285859501</v>
      </c>
      <c r="I39" s="7"/>
      <c r="K39" s="1">
        <f t="shared" si="0"/>
        <v>45.140978497589231</v>
      </c>
      <c r="L39" s="1">
        <f t="shared" si="1"/>
        <v>951.05546901361924</v>
      </c>
      <c r="N39" s="1">
        <v>47.193214794644099</v>
      </c>
      <c r="O39" s="1">
        <v>43.507099895956301</v>
      </c>
      <c r="Q39" s="1">
        <v>80.313826767686294</v>
      </c>
      <c r="R39" s="1">
        <v>767.47351595243595</v>
      </c>
    </row>
    <row r="40" spans="7:18" x14ac:dyDescent="0.25">
      <c r="G40" s="1">
        <v>66.937976115051399</v>
      </c>
      <c r="H40" s="1">
        <v>1932.28730621553</v>
      </c>
      <c r="I40" s="7"/>
      <c r="K40" s="1">
        <f t="shared" si="0"/>
        <v>46.80977350702895</v>
      </c>
      <c r="L40" s="1">
        <f t="shared" si="1"/>
        <v>944.92997516530397</v>
      </c>
      <c r="N40" s="1">
        <v>49.726478894706702</v>
      </c>
      <c r="O40" s="1">
        <v>44.501237963007398</v>
      </c>
      <c r="Q40" s="1">
        <v>82.697411701236106</v>
      </c>
      <c r="R40" s="1">
        <v>778.59421467211098</v>
      </c>
    </row>
    <row r="41" spans="7:18" x14ac:dyDescent="0.25">
      <c r="G41" s="1">
        <v>69.324451061596406</v>
      </c>
      <c r="H41" s="1">
        <v>1918.3948086774301</v>
      </c>
      <c r="I41" s="7"/>
      <c r="K41" s="1">
        <f t="shared" si="0"/>
        <v>48.478637106011469</v>
      </c>
      <c r="L41" s="1">
        <f t="shared" si="1"/>
        <v>938.13624562444625</v>
      </c>
      <c r="N41" s="1">
        <v>54.493205092200697</v>
      </c>
      <c r="O41" s="1">
        <v>46.477729399784401</v>
      </c>
      <c r="Q41" s="1">
        <v>85.080996634785905</v>
      </c>
      <c r="R41" s="1">
        <v>789.71491339178499</v>
      </c>
    </row>
    <row r="42" spans="7:18" x14ac:dyDescent="0.25">
      <c r="G42" s="1">
        <v>71.710909660967005</v>
      </c>
      <c r="H42" s="1">
        <v>1904.73005700061</v>
      </c>
      <c r="I42" s="7"/>
      <c r="K42" s="1">
        <f t="shared" si="0"/>
        <v>50.147489273403501</v>
      </c>
      <c r="L42" s="1">
        <f t="shared" si="1"/>
        <v>931.45388869901217</v>
      </c>
      <c r="N42" s="1">
        <v>56.876368323112999</v>
      </c>
      <c r="O42" s="1">
        <v>47.354412526837201</v>
      </c>
      <c r="Q42" s="1">
        <v>87.464254882033401</v>
      </c>
      <c r="R42" s="1">
        <v>799.01210856923001</v>
      </c>
    </row>
    <row r="43" spans="7:18" x14ac:dyDescent="0.25">
      <c r="G43" s="1">
        <v>74.097466343383999</v>
      </c>
      <c r="H43" s="1">
        <v>1889.69883015611</v>
      </c>
      <c r="I43" s="7"/>
      <c r="K43" s="1">
        <f t="shared" si="0"/>
        <v>51.81641003033846</v>
      </c>
      <c r="L43" s="1">
        <f t="shared" si="1"/>
        <v>924.10329608103575</v>
      </c>
      <c r="N43" s="1">
        <v>59.259352324717099</v>
      </c>
      <c r="O43" s="1">
        <v>48.131053112746599</v>
      </c>
      <c r="Q43" s="1">
        <v>89.8478398155832</v>
      </c>
      <c r="R43" s="1">
        <v>810.13280728890595</v>
      </c>
    </row>
    <row r="44" spans="7:18" x14ac:dyDescent="0.25">
      <c r="G44" s="1">
        <v>76.484072067324107</v>
      </c>
      <c r="H44" s="1">
        <v>1873.98436572777</v>
      </c>
      <c r="I44" s="7"/>
      <c r="K44" s="1">
        <f t="shared" si="0"/>
        <v>53.485365082044829</v>
      </c>
      <c r="L44" s="1">
        <f t="shared" si="1"/>
        <v>916.41858561678816</v>
      </c>
      <c r="N44" s="1">
        <v>61.642140803439503</v>
      </c>
      <c r="O44" s="1">
        <v>48.798556381045003</v>
      </c>
      <c r="Q44" s="1">
        <v>92.231833107010999</v>
      </c>
      <c r="R44" s="1">
        <v>823.53288543636802</v>
      </c>
    </row>
    <row r="45" spans="7:18" x14ac:dyDescent="0.25">
      <c r="G45" s="1">
        <v>78.8708085686592</v>
      </c>
      <c r="H45" s="1">
        <v>1856.4479344091901</v>
      </c>
      <c r="I45" s="7"/>
      <c r="K45" s="1">
        <f t="shared" si="0"/>
        <v>55.154411586474964</v>
      </c>
      <c r="L45" s="1">
        <f t="shared" si="1"/>
        <v>907.8428942291506</v>
      </c>
      <c r="N45" s="1">
        <v>64.025108511470194</v>
      </c>
      <c r="O45" s="1">
        <v>49.566102190486802</v>
      </c>
      <c r="Q45" s="1">
        <v>94.615418040560797</v>
      </c>
      <c r="R45" s="1">
        <v>834.65358415604396</v>
      </c>
    </row>
    <row r="46" spans="7:18" x14ac:dyDescent="0.25">
      <c r="G46" s="1">
        <v>81.257528722819998</v>
      </c>
      <c r="H46" s="1">
        <v>1839.1392489518801</v>
      </c>
      <c r="I46" s="7"/>
      <c r="K46" s="1">
        <f t="shared" si="0"/>
        <v>56.823446659314683</v>
      </c>
      <c r="L46" s="1">
        <f t="shared" si="1"/>
        <v>899.37857545693203</v>
      </c>
      <c r="N46" s="1">
        <v>66.407848109472098</v>
      </c>
      <c r="O46" s="1">
        <v>50.206321129382403</v>
      </c>
      <c r="Q46" s="1">
        <v>96.998512944657094</v>
      </c>
      <c r="R46" s="1">
        <v>843.03902756237403</v>
      </c>
    </row>
    <row r="47" spans="7:18" x14ac:dyDescent="0.25">
      <c r="G47" s="1">
        <v>83.644363307201402</v>
      </c>
      <c r="H47" s="1">
        <v>1820.2363424656201</v>
      </c>
      <c r="I47" s="7"/>
      <c r="K47" s="1">
        <f t="shared" si="0"/>
        <v>58.492561753287688</v>
      </c>
      <c r="L47" s="1">
        <f t="shared" si="1"/>
        <v>890.13464837675201</v>
      </c>
      <c r="N47" s="1">
        <v>68.790408478165901</v>
      </c>
      <c r="O47" s="1">
        <v>50.746497527134601</v>
      </c>
      <c r="Q47" s="1">
        <v>99.382179549782506</v>
      </c>
      <c r="R47" s="1">
        <v>854.61560216760597</v>
      </c>
    </row>
    <row r="48" spans="7:18" x14ac:dyDescent="0.25">
      <c r="G48" s="1">
        <v>86.031328668977906</v>
      </c>
      <c r="H48" s="1">
        <v>1799.5114690891101</v>
      </c>
      <c r="I48" s="7"/>
      <c r="K48" s="1">
        <f t="shared" si="0"/>
        <v>60.161768299984544</v>
      </c>
      <c r="L48" s="1">
        <f t="shared" si="1"/>
        <v>879.99974037317725</v>
      </c>
      <c r="N48" s="1">
        <v>71.172952553286095</v>
      </c>
      <c r="O48" s="1">
        <v>51.2775791484192</v>
      </c>
      <c r="Q48" s="1">
        <v>101.76527445387801</v>
      </c>
      <c r="R48" s="1">
        <v>863.00104557393604</v>
      </c>
    </row>
    <row r="49" spans="7:18" x14ac:dyDescent="0.25">
      <c r="G49" s="1">
        <v>88.418343072277594</v>
      </c>
      <c r="H49" s="1">
        <v>1778.10335812876</v>
      </c>
      <c r="I49" s="7"/>
      <c r="K49" s="1">
        <f t="shared" si="0"/>
        <v>61.83100914145286</v>
      </c>
      <c r="L49" s="1">
        <f t="shared" si="1"/>
        <v>869.5307145233312</v>
      </c>
      <c r="N49" s="1">
        <v>73.555333692671596</v>
      </c>
      <c r="O49" s="1">
        <v>51.717713005028003</v>
      </c>
      <c r="Q49" s="1">
        <v>104.148696044277</v>
      </c>
      <c r="R49" s="1">
        <v>873.20999252249703</v>
      </c>
    </row>
    <row r="50" spans="7:18" x14ac:dyDescent="0.25">
      <c r="G50" s="1">
        <v>90.805569988844198</v>
      </c>
      <c r="H50" s="1">
        <v>1753.73455097176</v>
      </c>
      <c r="I50" s="7"/>
      <c r="K50" s="1">
        <f t="shared" si="0"/>
        <v>63.500398593597339</v>
      </c>
      <c r="L50" s="1">
        <f t="shared" si="1"/>
        <v>857.61384467297171</v>
      </c>
      <c r="N50" s="1">
        <v>75.937649657763203</v>
      </c>
      <c r="O50" s="1">
        <v>52.121467755766503</v>
      </c>
      <c r="Q50" s="1">
        <v>106.531954291524</v>
      </c>
      <c r="R50" s="1">
        <v>882.50718769994103</v>
      </c>
    </row>
    <row r="51" spans="7:18" x14ac:dyDescent="0.25">
      <c r="G51" s="1">
        <v>93.1927151695389</v>
      </c>
      <c r="H51" s="1">
        <v>1730.5044731211699</v>
      </c>
      <c r="I51" s="7"/>
      <c r="K51" s="1">
        <f t="shared" si="0"/>
        <v>65.169730887789441</v>
      </c>
      <c r="L51" s="1">
        <f t="shared" si="1"/>
        <v>846.25383789973591</v>
      </c>
      <c r="N51" s="1">
        <v>78.319851567840502</v>
      </c>
      <c r="O51" s="1">
        <v>52.461559071231797</v>
      </c>
      <c r="Q51" s="1">
        <v>108.915375881923</v>
      </c>
      <c r="R51" s="1">
        <v>892.716134648501</v>
      </c>
    </row>
    <row r="52" spans="7:18" x14ac:dyDescent="0.25">
      <c r="G52" s="1">
        <v>95.580187293721195</v>
      </c>
      <c r="H52" s="1">
        <v>1702.7194780449699</v>
      </c>
      <c r="I52" s="7"/>
      <c r="K52" s="1">
        <f t="shared" si="0"/>
        <v>66.839291813791036</v>
      </c>
      <c r="L52" s="1">
        <f t="shared" si="1"/>
        <v>832.66637881802046</v>
      </c>
      <c r="N52" s="1">
        <v>80.701923129329899</v>
      </c>
      <c r="O52" s="1">
        <v>52.728892174956499</v>
      </c>
      <c r="Q52" s="1">
        <v>110.32335300928101</v>
      </c>
      <c r="R52" s="1">
        <v>896.46931478122599</v>
      </c>
    </row>
    <row r="53" spans="7:18" x14ac:dyDescent="0.25">
      <c r="G53" s="1">
        <v>97.967806542472999</v>
      </c>
      <c r="H53" s="1">
        <v>1672.88477021725</v>
      </c>
      <c r="I53" s="7"/>
      <c r="K53" s="1">
        <f t="shared" si="0"/>
        <v>68.508955624106989</v>
      </c>
      <c r="L53" s="1">
        <f t="shared" si="1"/>
        <v>818.07656619749139</v>
      </c>
      <c r="N53" s="1">
        <v>83.083880635805002</v>
      </c>
      <c r="O53" s="1">
        <v>52.932561843408102</v>
      </c>
    </row>
    <row r="54" spans="7:18" x14ac:dyDescent="0.25">
      <c r="G54" s="1">
        <v>100.355589262968</v>
      </c>
      <c r="H54" s="1">
        <v>1640.77260377673</v>
      </c>
      <c r="I54" s="7"/>
      <c r="K54" s="1">
        <f t="shared" si="0"/>
        <v>70.178733750327268</v>
      </c>
      <c r="L54" s="1">
        <f t="shared" si="1"/>
        <v>802.37302742272482</v>
      </c>
      <c r="N54" s="1">
        <v>85.465740380839307</v>
      </c>
      <c r="O54" s="1">
        <v>53.081662853054198</v>
      </c>
    </row>
    <row r="55" spans="7:18" x14ac:dyDescent="0.25">
      <c r="G55" s="1">
        <v>102.743535455208</v>
      </c>
      <c r="H55" s="1">
        <v>1606.3829787233999</v>
      </c>
      <c r="I55" s="7"/>
      <c r="K55" s="1">
        <f t="shared" si="0"/>
        <v>71.848626192453153</v>
      </c>
      <c r="L55" s="1">
        <f t="shared" si="1"/>
        <v>785.55576249371609</v>
      </c>
      <c r="N55" s="1">
        <v>87.8475023644327</v>
      </c>
      <c r="O55" s="1">
        <v>53.1761952038948</v>
      </c>
    </row>
    <row r="56" spans="7:18" x14ac:dyDescent="0.25">
      <c r="G56" s="1">
        <v>105.131710507888</v>
      </c>
      <c r="H56" s="1">
        <v>1568.8049116121499</v>
      </c>
      <c r="I56" s="7"/>
      <c r="K56" s="1">
        <f t="shared" si="0"/>
        <v>73.518678676844758</v>
      </c>
      <c r="L56" s="1">
        <f t="shared" si="1"/>
        <v>767.17928094877493</v>
      </c>
      <c r="N56" s="1">
        <v>90.2291014122913</v>
      </c>
      <c r="O56" s="1">
        <v>53.179779790059598</v>
      </c>
    </row>
    <row r="57" spans="7:18" x14ac:dyDescent="0.25">
      <c r="G57" s="1">
        <v>107.520081726662</v>
      </c>
      <c r="H57" s="1">
        <v>1528.49389416553</v>
      </c>
      <c r="I57" s="7"/>
      <c r="K57" s="1">
        <f t="shared" si="0"/>
        <v>75.188868340323069</v>
      </c>
      <c r="L57" s="1">
        <f t="shared" si="1"/>
        <v>747.46632801874421</v>
      </c>
      <c r="N57" s="1">
        <v>92.610602698709101</v>
      </c>
      <c r="O57" s="1">
        <v>53.128795717418797</v>
      </c>
    </row>
    <row r="58" spans="7:18" x14ac:dyDescent="0.25">
      <c r="G58" s="1">
        <v>109.03995481579599</v>
      </c>
      <c r="H58" s="1">
        <v>1502.83452712795</v>
      </c>
      <c r="I58" s="7"/>
      <c r="K58" s="1">
        <f t="shared" si="0"/>
        <v>76.251716654402784</v>
      </c>
      <c r="L58" s="1">
        <f t="shared" si="1"/>
        <v>734.91834668098682</v>
      </c>
      <c r="N58" s="1">
        <v>94.992006223686005</v>
      </c>
      <c r="O58" s="1">
        <v>53.023242985972502</v>
      </c>
    </row>
    <row r="59" spans="7:18" x14ac:dyDescent="0.25">
      <c r="N59" s="1">
        <v>97.373149051487403</v>
      </c>
      <c r="O59" s="1">
        <v>52.772173831044903</v>
      </c>
    </row>
    <row r="60" spans="7:18" x14ac:dyDescent="0.25">
      <c r="N60" s="1">
        <v>99.754194117847803</v>
      </c>
      <c r="O60" s="1">
        <v>52.466536017311803</v>
      </c>
    </row>
    <row r="61" spans="7:18" x14ac:dyDescent="0.25">
      <c r="N61" s="1">
        <v>102.135027367753</v>
      </c>
      <c r="O61" s="1">
        <v>52.042666109500097</v>
      </c>
    </row>
    <row r="62" spans="7:18" x14ac:dyDescent="0.25">
      <c r="N62" s="1">
        <v>104.515616214056</v>
      </c>
      <c r="O62" s="1">
        <v>51.482374554674699</v>
      </c>
    </row>
    <row r="63" spans="7:18" x14ac:dyDescent="0.25">
      <c r="N63" s="1">
        <v>106.89607471177101</v>
      </c>
      <c r="O63" s="1">
        <v>50.849324788108497</v>
      </c>
    </row>
    <row r="64" spans="7:18" x14ac:dyDescent="0.25">
      <c r="J64" t="s">
        <v>148</v>
      </c>
      <c r="N64" s="1">
        <v>109.276337686605</v>
      </c>
      <c r="O64" s="1">
        <v>50.1071377039314</v>
      </c>
    </row>
    <row r="65" spans="1:30" x14ac:dyDescent="0.25">
      <c r="N65" s="1">
        <v>110.574674795476</v>
      </c>
      <c r="O65" s="1">
        <v>49.708922768174801</v>
      </c>
    </row>
    <row r="69" spans="1:30" x14ac:dyDescent="0.25">
      <c r="B69" t="s">
        <v>153</v>
      </c>
      <c r="D69">
        <v>80</v>
      </c>
      <c r="E69" t="s">
        <v>154</v>
      </c>
    </row>
    <row r="70" spans="1:30" x14ac:dyDescent="0.25">
      <c r="B70" t="s">
        <v>155</v>
      </c>
      <c r="D70">
        <v>10</v>
      </c>
      <c r="E70" t="s">
        <v>95</v>
      </c>
      <c r="J70" t="s">
        <v>126</v>
      </c>
      <c r="K70" t="s">
        <v>147</v>
      </c>
      <c r="L70">
        <v>1010.3</v>
      </c>
    </row>
    <row r="71" spans="1:30" x14ac:dyDescent="0.25">
      <c r="B71" t="s">
        <v>156</v>
      </c>
      <c r="D71">
        <f>[1]!refprop("D","CO2","TP","SI with C",D70,D69/10)</f>
        <v>903.13316920491616</v>
      </c>
      <c r="E71" t="s">
        <v>97</v>
      </c>
      <c r="K71" t="str">
        <f>LEFT(K70,6)</f>
        <v xml:space="preserve"> 1.812</v>
      </c>
    </row>
    <row r="72" spans="1:30" x14ac:dyDescent="0.25">
      <c r="B72" t="s">
        <v>157</v>
      </c>
      <c r="D72">
        <v>0.83</v>
      </c>
    </row>
    <row r="73" spans="1:30" x14ac:dyDescent="0.25">
      <c r="B73" s="23">
        <v>2000</v>
      </c>
      <c r="C73" s="23"/>
      <c r="D73" s="23"/>
      <c r="E73" s="23"/>
      <c r="F73" s="23"/>
      <c r="G73" s="23"/>
      <c r="H73" s="23">
        <v>2500</v>
      </c>
      <c r="I73" s="23"/>
      <c r="J73" s="23"/>
      <c r="K73" s="23"/>
      <c r="L73" s="23"/>
      <c r="M73" s="23"/>
      <c r="N73" s="23">
        <v>3000</v>
      </c>
      <c r="O73" s="23"/>
      <c r="P73" s="23"/>
      <c r="Q73" s="23"/>
      <c r="R73" s="23"/>
      <c r="S73" s="23"/>
      <c r="T73" s="23">
        <v>3575</v>
      </c>
      <c r="U73" s="23"/>
      <c r="W73" s="23"/>
      <c r="X73" s="23"/>
      <c r="Y73" s="23"/>
      <c r="Z73" s="23">
        <v>4000</v>
      </c>
    </row>
    <row r="74" spans="1:30" x14ac:dyDescent="0.25">
      <c r="A74" s="24" t="s">
        <v>159</v>
      </c>
      <c r="B74" s="24" t="s">
        <v>149</v>
      </c>
      <c r="C74" s="24" t="s">
        <v>151</v>
      </c>
      <c r="D74" s="24" t="s">
        <v>150</v>
      </c>
      <c r="E74" s="24" t="s">
        <v>152</v>
      </c>
      <c r="F74" s="24" t="s">
        <v>158</v>
      </c>
      <c r="G74" t="s">
        <v>159</v>
      </c>
      <c r="H74" t="s">
        <v>149</v>
      </c>
      <c r="I74" t="s">
        <v>151</v>
      </c>
      <c r="J74" t="s">
        <v>150</v>
      </c>
      <c r="K74" t="s">
        <v>152</v>
      </c>
      <c r="L74" t="s">
        <v>158</v>
      </c>
      <c r="M74" s="24" t="s">
        <v>159</v>
      </c>
      <c r="N74" s="24" t="s">
        <v>149</v>
      </c>
      <c r="O74" s="24" t="s">
        <v>151</v>
      </c>
      <c r="P74" s="24" t="s">
        <v>150</v>
      </c>
      <c r="Q74" s="24" t="s">
        <v>152</v>
      </c>
      <c r="R74" s="24" t="s">
        <v>158</v>
      </c>
      <c r="S74" t="s">
        <v>159</v>
      </c>
      <c r="T74" t="s">
        <v>149</v>
      </c>
      <c r="U74" t="s">
        <v>151</v>
      </c>
      <c r="V74" t="s">
        <v>150</v>
      </c>
      <c r="W74" t="s">
        <v>152</v>
      </c>
      <c r="X74" t="s">
        <v>158</v>
      </c>
      <c r="Y74" s="24" t="s">
        <v>159</v>
      </c>
      <c r="Z74" s="24" t="s">
        <v>149</v>
      </c>
      <c r="AA74" s="24" t="s">
        <v>151</v>
      </c>
      <c r="AB74" s="24" t="s">
        <v>150</v>
      </c>
      <c r="AC74" s="24" t="s">
        <v>152</v>
      </c>
      <c r="AD74" s="24" t="s">
        <v>158</v>
      </c>
    </row>
    <row r="75" spans="1:30" x14ac:dyDescent="0.25">
      <c r="A75" s="24">
        <f>A76-(1/6)</f>
        <v>0.83333333333333337</v>
      </c>
      <c r="B75" s="24">
        <v>50.800318874877874</v>
      </c>
      <c r="C75" s="24">
        <f t="shared" ref="C75:C83" si="2">(B75*$D$71)/3600</f>
        <v>12.744292495024661</v>
      </c>
      <c r="D75" s="24">
        <v>548.87286059070198</v>
      </c>
      <c r="E75" s="24">
        <f t="shared" ref="E75:E83" si="3">((0.0981*D75*$D$72)+$D$69)/$D$69</f>
        <v>1.5586359365984592</v>
      </c>
      <c r="F75" s="24">
        <f>0.00002423*B75^3 - 0.01097 *B75^2 + 1.362*B75 + 1.365</f>
        <v>45.421586406663764</v>
      </c>
      <c r="G75">
        <f>1-1/14</f>
        <v>0.9285714285714286</v>
      </c>
      <c r="H75">
        <v>50.147489273403501</v>
      </c>
      <c r="I75">
        <f t="shared" ref="I75:I91" si="4">(H75*$D$71)/3600</f>
        <v>12.580516920877344</v>
      </c>
      <c r="J75">
        <v>931.45388869901217</v>
      </c>
      <c r="K75">
        <f t="shared" ref="K75:K91" si="5">((0.0981*J75*$D$72)+$D$69)/$D$69</f>
        <v>1.9480221247442457</v>
      </c>
      <c r="L75">
        <f>0.00002423*H75^3 - 0.01097 *H75^2 + 1.362*H75 + 1.365</f>
        <v>45.134477653638761</v>
      </c>
      <c r="M75" s="24">
        <v>0.91666666666666663</v>
      </c>
      <c r="N75" s="24">
        <v>50.164203353537623</v>
      </c>
      <c r="O75" s="24">
        <f t="shared" ref="O75:O89" si="6">(N75*$D$71)/3600</f>
        <v>12.584709987588976</v>
      </c>
      <c r="P75" s="24">
        <v>1385.557532000651</v>
      </c>
      <c r="Q75" s="24">
        <f t="shared" ref="Q75:Q89" si="7">((0.0981*P75*$D$72)+$D$69)/$D$69</f>
        <v>2.4102031366011127</v>
      </c>
      <c r="R75" s="24">
        <f>0.00002423*N75^3 - 0.01097 *N75^2 + 1.362*N75 + 1.365</f>
        <v>45.141906065195435</v>
      </c>
      <c r="S75">
        <v>0.91666666666666663</v>
      </c>
      <c r="T75">
        <v>50.233926568838001</v>
      </c>
      <c r="U75">
        <f t="shared" ref="U75:U89" si="8">(T75*$D$71)/3600</f>
        <v>12.602201473256029</v>
      </c>
      <c r="V75">
        <v>2011.77061180236</v>
      </c>
      <c r="W75">
        <f t="shared" ref="W75:W89" si="9">((0.0981*V75*$D$72)+$D$69)/$D$69</f>
        <v>3.0475549815597942</v>
      </c>
      <c r="X75">
        <f>0.00002423*T75^3 - 0.01097 *T75^2 + 1.362*T75 + 1.365</f>
        <v>45.172849746041301</v>
      </c>
      <c r="Y75" s="24">
        <v>0.91666666666666663</v>
      </c>
      <c r="Z75" s="24">
        <v>50.866123489090349</v>
      </c>
      <c r="AA75" s="24">
        <f t="shared" ref="AA75:AA89" si="10">(Z75*$D$71)/3600</f>
        <v>12.760800919964108</v>
      </c>
      <c r="AB75" s="24">
        <v>2542.4750531682575</v>
      </c>
      <c r="AC75" s="24">
        <f t="shared" ref="AC75:AC89" si="11">((0.0981*AB75*$D$72)+$D$69)/$D$69</f>
        <v>3.5876993281764884</v>
      </c>
      <c r="AD75" s="24">
        <f>0.00002423*Z75^3 - 0.01097 *Z75^2 + 1.362*Z75 + 1.365</f>
        <v>45.450181887569137</v>
      </c>
    </row>
    <row r="76" spans="1:30" x14ac:dyDescent="0.25">
      <c r="A76" s="24">
        <v>1</v>
      </c>
      <c r="B76" s="24">
        <v>52.135784710231555</v>
      </c>
      <c r="C76" s="24">
        <f t="shared" si="2"/>
        <v>13.079321242871288</v>
      </c>
      <c r="D76" s="24">
        <v>541.60245625583093</v>
      </c>
      <c r="E76" s="24">
        <f t="shared" si="3"/>
        <v>1.5512362099464814</v>
      </c>
      <c r="F76" s="24">
        <f t="shared" ref="F76:F83" si="12">0.00002423*B76^3 - 0.01097 *B76^2 + 1.362*B76 + 1.365</f>
        <v>45.989633043385574</v>
      </c>
      <c r="G76">
        <v>1</v>
      </c>
      <c r="H76">
        <v>51.81641003033846</v>
      </c>
      <c r="I76">
        <f t="shared" si="4"/>
        <v>12.999199613200272</v>
      </c>
      <c r="J76">
        <v>924.10329608103575</v>
      </c>
      <c r="K76">
        <f t="shared" si="5"/>
        <v>1.9405407834600772</v>
      </c>
      <c r="L76">
        <f t="shared" ref="L76:L91" si="13">0.00002423*H76^3 - 0.01097 *H76^2 + 1.362*H76 + 1.365</f>
        <v>45.856128632153165</v>
      </c>
      <c r="M76" s="24">
        <v>1</v>
      </c>
      <c r="N76" s="24">
        <v>52.166647621596674</v>
      </c>
      <c r="O76" s="24">
        <f t="shared" si="6"/>
        <v>13.087063831469084</v>
      </c>
      <c r="P76" s="24">
        <v>1378.0198333887654</v>
      </c>
      <c r="Q76" s="24">
        <f t="shared" si="7"/>
        <v>2.4025313611751682</v>
      </c>
      <c r="R76" s="24">
        <f t="shared" ref="R76:R89" si="14">0.00002423*N76^3 - 0.01097 *N76^2 + 1.362*N76 + 1.365</f>
        <v>46.002456610932107</v>
      </c>
      <c r="S76">
        <v>1</v>
      </c>
      <c r="T76">
        <v>57.392713868672203</v>
      </c>
      <c r="U76">
        <f t="shared" si="8"/>
        <v>14.398128768190242</v>
      </c>
      <c r="V76">
        <v>1978.9752077779999</v>
      </c>
      <c r="W76">
        <f t="shared" si="9"/>
        <v>3.0141762292863512</v>
      </c>
      <c r="X76">
        <f t="shared" ref="X76:X89" si="15">0.00002423*T76^3 - 0.01097 *T76^2 + 1.362*T76 + 1.365</f>
        <v>47.980148358908771</v>
      </c>
      <c r="Y76" s="24">
        <v>1</v>
      </c>
      <c r="Z76" s="24">
        <v>53.535921146022382</v>
      </c>
      <c r="AA76" s="24">
        <f t="shared" si="10"/>
        <v>13.430573925253245</v>
      </c>
      <c r="AB76" s="24">
        <v>2531.0704973488546</v>
      </c>
      <c r="AC76" s="24">
        <f t="shared" si="11"/>
        <v>3.5760919138204472</v>
      </c>
      <c r="AD76" s="24">
        <f t="shared" ref="AD76:AD89" si="16">0.00002423*Z76^3 - 0.01097 *Z76^2 + 1.362*Z76 + 1.365</f>
        <v>46.557691713510238</v>
      </c>
    </row>
    <row r="77" spans="1:30" x14ac:dyDescent="0.25">
      <c r="A77" s="24">
        <f>A76+1/6</f>
        <v>1.1666666666666667</v>
      </c>
      <c r="B77" s="24">
        <v>53.471433451032837</v>
      </c>
      <c r="C77" s="24">
        <f t="shared" si="2"/>
        <v>13.41439587626696</v>
      </c>
      <c r="D77" s="24">
        <v>532.90648244353315</v>
      </c>
      <c r="E77" s="24">
        <f t="shared" si="3"/>
        <v>1.5423855564999975</v>
      </c>
      <c r="F77" s="24">
        <f t="shared" si="12"/>
        <v>46.532140727879231</v>
      </c>
      <c r="G77">
        <f>1+1/14</f>
        <v>1.0714285714285714</v>
      </c>
      <c r="H77">
        <v>53.485365082044829</v>
      </c>
      <c r="I77">
        <f t="shared" si="4"/>
        <v>13.41789090906364</v>
      </c>
      <c r="J77">
        <v>916.41858561678816</v>
      </c>
      <c r="K77">
        <f t="shared" si="5"/>
        <v>1.9327193812084467</v>
      </c>
      <c r="L77">
        <f t="shared" si="13"/>
        <v>46.537665635203261</v>
      </c>
      <c r="M77" s="24">
        <v>1.0833333333333333</v>
      </c>
      <c r="N77" s="24">
        <v>54.169174197107083</v>
      </c>
      <c r="O77" s="24">
        <f t="shared" si="6"/>
        <v>13.589438323846247</v>
      </c>
      <c r="P77" s="24">
        <v>1369.5198753796119</v>
      </c>
      <c r="Q77" s="24">
        <f t="shared" si="7"/>
        <v>2.3938802101629264</v>
      </c>
      <c r="R77" s="24">
        <f t="shared" si="14"/>
        <v>46.805474498475952</v>
      </c>
      <c r="S77">
        <v>1.0833333333333333</v>
      </c>
      <c r="T77">
        <v>59.779008996298998</v>
      </c>
      <c r="U77">
        <f t="shared" si="8"/>
        <v>14.996779401876864</v>
      </c>
      <c r="V77">
        <v>1967.5879147139799</v>
      </c>
      <c r="W77">
        <f t="shared" si="9"/>
        <v>3.0025863847469547</v>
      </c>
      <c r="X77">
        <f t="shared" si="15"/>
        <v>48.7584499945605</v>
      </c>
      <c r="Y77" s="24">
        <v>1.0833333333333333</v>
      </c>
      <c r="Z77" s="24">
        <v>56.205791965133429</v>
      </c>
      <c r="AA77" s="24">
        <f t="shared" si="10"/>
        <v>14.10036528476199</v>
      </c>
      <c r="AB77" s="24">
        <v>2518.5254859474994</v>
      </c>
      <c r="AC77" s="24">
        <f t="shared" si="11"/>
        <v>3.5633237580287904</v>
      </c>
      <c r="AD77" s="24">
        <f t="shared" si="16"/>
        <v>47.564319597727675</v>
      </c>
    </row>
    <row r="78" spans="1:30" x14ac:dyDescent="0.25">
      <c r="A78" s="24">
        <f>1+2/6</f>
        <v>1.3333333333333333</v>
      </c>
      <c r="B78" s="24">
        <v>54.807164499285598</v>
      </c>
      <c r="C78" s="24">
        <f t="shared" si="2"/>
        <v>13.749491158159714</v>
      </c>
      <c r="D78" s="24">
        <v>523.56900236639444</v>
      </c>
      <c r="E78" s="24">
        <f t="shared" si="3"/>
        <v>1.5328819859959868</v>
      </c>
      <c r="F78" s="24">
        <f t="shared" si="12"/>
        <v>47.049407395661994</v>
      </c>
      <c r="G78">
        <f>1+2/14</f>
        <v>1.1428571428571428</v>
      </c>
      <c r="H78">
        <v>55.154411586474964</v>
      </c>
      <c r="I78">
        <f t="shared" si="4"/>
        <v>13.836605147701523</v>
      </c>
      <c r="J78">
        <v>907.8428942291506</v>
      </c>
      <c r="K78">
        <f t="shared" si="5"/>
        <v>1.9239911497102518</v>
      </c>
      <c r="L78">
        <f t="shared" si="13"/>
        <v>47.179783363547344</v>
      </c>
      <c r="M78" s="24">
        <v>1.1666666666666667</v>
      </c>
      <c r="N78" s="24">
        <v>56.171728208434743</v>
      </c>
      <c r="O78" s="24">
        <f t="shared" si="6"/>
        <v>14.091819699055794</v>
      </c>
      <c r="P78" s="24">
        <v>1360.6991642380376</v>
      </c>
      <c r="Q78" s="24">
        <f t="shared" si="7"/>
        <v>2.3849026006219218</v>
      </c>
      <c r="R78" s="24">
        <f t="shared" si="14"/>
        <v>47.552100458480567</v>
      </c>
      <c r="S78">
        <v>1.1666666666666667</v>
      </c>
      <c r="T78">
        <v>64.551599251552602</v>
      </c>
      <c r="U78">
        <f t="shared" si="8"/>
        <v>16.194080669250109</v>
      </c>
      <c r="V78">
        <v>1944.8133285859501</v>
      </c>
      <c r="W78">
        <f t="shared" si="9"/>
        <v>2.9794066956681724</v>
      </c>
      <c r="X78">
        <f t="shared" si="15"/>
        <v>50.090687675475728</v>
      </c>
      <c r="Y78" s="24">
        <v>1.1666666666666667</v>
      </c>
      <c r="Z78" s="24">
        <v>64.215623909003867</v>
      </c>
      <c r="AA78" s="24">
        <f t="shared" si="10"/>
        <v>16.109794425947126</v>
      </c>
      <c r="AB78" s="24">
        <v>2477.4690849976428</v>
      </c>
      <c r="AC78" s="24">
        <f t="shared" si="11"/>
        <v>3.521537066347038</v>
      </c>
      <c r="AD78" s="24">
        <f t="shared" si="16"/>
        <v>50.006444402505529</v>
      </c>
    </row>
    <row r="79" spans="1:30" x14ac:dyDescent="0.25">
      <c r="A79" s="24">
        <v>1.5</v>
      </c>
      <c r="B79" s="24">
        <v>56.142987000261819</v>
      </c>
      <c r="C79" s="24">
        <f t="shared" si="2"/>
        <v>14.084609382826907</v>
      </c>
      <c r="D79" s="24">
        <v>513.51873755054396</v>
      </c>
      <c r="E79" s="24">
        <f t="shared" si="3"/>
        <v>1.5226529520947243</v>
      </c>
      <c r="F79" s="24">
        <f t="shared" si="12"/>
        <v>47.541778159580403</v>
      </c>
      <c r="G79">
        <f>1+3/14</f>
        <v>1.2142857142857142</v>
      </c>
      <c r="H79">
        <v>56.823446659314683</v>
      </c>
      <c r="I79">
        <f t="shared" si="4"/>
        <v>14.255316518492604</v>
      </c>
      <c r="J79">
        <v>899.37857545693203</v>
      </c>
      <c r="K79">
        <f t="shared" si="5"/>
        <v>1.915376271867872</v>
      </c>
      <c r="L79">
        <f t="shared" si="13"/>
        <v>47.783115319818869</v>
      </c>
      <c r="M79" s="24">
        <v>1.25</v>
      </c>
      <c r="N79" s="24">
        <v>60.1769871280842</v>
      </c>
      <c r="O79" s="24">
        <f t="shared" si="6"/>
        <v>15.096620305052815</v>
      </c>
      <c r="P79" s="24">
        <v>1341.2935997265774</v>
      </c>
      <c r="Q79" s="24">
        <f t="shared" si="7"/>
        <v>2.3651518596317138</v>
      </c>
      <c r="R79" s="24">
        <f t="shared" si="14"/>
        <v>48.880858436280562</v>
      </c>
      <c r="S79">
        <v>1.25</v>
      </c>
      <c r="T79">
        <v>66.937976115051399</v>
      </c>
      <c r="U79">
        <f t="shared" si="8"/>
        <v>16.792751808041487</v>
      </c>
      <c r="V79">
        <v>1932.28730621553</v>
      </c>
      <c r="W79">
        <f t="shared" si="9"/>
        <v>2.9666578666748387</v>
      </c>
      <c r="X79">
        <f t="shared" si="15"/>
        <v>50.648592628522188</v>
      </c>
      <c r="Y79" s="24">
        <v>1.25</v>
      </c>
      <c r="Z79" s="24">
        <v>66.885604471383502</v>
      </c>
      <c r="AA79" s="24">
        <f t="shared" si="10"/>
        <v>16.779613316785305</v>
      </c>
      <c r="AB79" s="24">
        <v>2463.2133902233795</v>
      </c>
      <c r="AC79" s="24">
        <f t="shared" si="11"/>
        <v>3.5070277984019782</v>
      </c>
      <c r="AD79" s="24">
        <f t="shared" si="16"/>
        <v>50.637102179394248</v>
      </c>
    </row>
    <row r="80" spans="1:30" x14ac:dyDescent="0.25">
      <c r="A80" s="24">
        <v>1.6666669999999999</v>
      </c>
      <c r="B80" s="24">
        <v>57.478900953962523</v>
      </c>
      <c r="C80" s="24">
        <f t="shared" si="2"/>
        <v>14.419750550268791</v>
      </c>
      <c r="D80" s="24">
        <v>502.75568799597823</v>
      </c>
      <c r="E80" s="24">
        <f t="shared" si="3"/>
        <v>1.5116984547962067</v>
      </c>
      <c r="F80" s="24">
        <f t="shared" si="12"/>
        <v>48.00959447257403</v>
      </c>
      <c r="G80">
        <f>1+4/14</f>
        <v>1.2857142857142856</v>
      </c>
      <c r="H80">
        <v>58.492561753287688</v>
      </c>
      <c r="I80">
        <f t="shared" si="4"/>
        <v>14.674047964211383</v>
      </c>
      <c r="J80">
        <v>890.13464837675201</v>
      </c>
      <c r="K80">
        <f t="shared" si="5"/>
        <v>1.9059679184347538</v>
      </c>
      <c r="L80">
        <f t="shared" si="13"/>
        <v>48.34836816213172</v>
      </c>
      <c r="M80" s="24">
        <v>1.3333333333333333</v>
      </c>
      <c r="N80" s="24">
        <v>62.179692036406152</v>
      </c>
      <c r="O80" s="24">
        <f t="shared" si="6"/>
        <v>15.599039535840328</v>
      </c>
      <c r="P80" s="24">
        <v>1330.7087463566916</v>
      </c>
      <c r="Q80" s="24">
        <f t="shared" si="7"/>
        <v>2.3543787281825113</v>
      </c>
      <c r="R80" s="24">
        <f t="shared" si="14"/>
        <v>49.465317572005809</v>
      </c>
      <c r="S80">
        <v>1.3333333333333333</v>
      </c>
      <c r="T80">
        <v>74.097466343383999</v>
      </c>
      <c r="U80">
        <f t="shared" si="8"/>
        <v>18.588855446876387</v>
      </c>
      <c r="V80">
        <v>1889.69883015611</v>
      </c>
      <c r="W80">
        <f t="shared" si="9"/>
        <v>2.9233118480975118</v>
      </c>
      <c r="X80">
        <f t="shared" si="15"/>
        <v>51.913107654342085</v>
      </c>
      <c r="Y80" s="24">
        <v>1.3333333333333333</v>
      </c>
      <c r="Z80" s="24">
        <v>72.225565596142772</v>
      </c>
      <c r="AA80" s="24">
        <f t="shared" si="10"/>
        <v>18.11925109846166</v>
      </c>
      <c r="AB80" s="24">
        <v>2434.7020006748653</v>
      </c>
      <c r="AC80" s="24">
        <f t="shared" si="11"/>
        <v>3.4780092625118697</v>
      </c>
      <c r="AD80" s="24">
        <f t="shared" si="16"/>
        <v>51.639925082823716</v>
      </c>
    </row>
    <row r="81" spans="1:30" x14ac:dyDescent="0.25">
      <c r="A81" s="24">
        <v>1.8333333300000001</v>
      </c>
      <c r="B81" s="24">
        <v>58.814942941475806</v>
      </c>
      <c r="C81" s="24">
        <f t="shared" si="2"/>
        <v>14.754923837594822</v>
      </c>
      <c r="D81" s="24">
        <v>490.99473980721598</v>
      </c>
      <c r="E81" s="24">
        <f t="shared" si="3"/>
        <v>1.499728308741537</v>
      </c>
      <c r="F81" s="24">
        <f t="shared" si="12"/>
        <v>48.45320974709459</v>
      </c>
      <c r="G81">
        <f>1+5/14</f>
        <v>1.3571428571428572</v>
      </c>
      <c r="H81">
        <v>60.161768299984544</v>
      </c>
      <c r="I81">
        <f t="shared" si="4"/>
        <v>15.092802352704695</v>
      </c>
      <c r="J81">
        <v>879.99974037317725</v>
      </c>
      <c r="K81">
        <f t="shared" si="5"/>
        <v>1.8956527357550652</v>
      </c>
      <c r="L81">
        <f t="shared" si="13"/>
        <v>48.876215972525337</v>
      </c>
      <c r="M81" s="24">
        <v>1.4166666666666665</v>
      </c>
      <c r="N81" s="24">
        <v>66.18529390376996</v>
      </c>
      <c r="O81" s="24">
        <f t="shared" si="6"/>
        <v>16.603926177241828</v>
      </c>
      <c r="P81" s="24">
        <v>1307.2937676899769</v>
      </c>
      <c r="Q81" s="24">
        <f t="shared" si="7"/>
        <v>2.3305472555827622</v>
      </c>
      <c r="R81" s="24">
        <f t="shared" si="14"/>
        <v>50.480224646866262</v>
      </c>
      <c r="S81">
        <v>1.4166666666666665</v>
      </c>
      <c r="T81">
        <v>78.8708085686592</v>
      </c>
      <c r="U81">
        <f t="shared" si="8"/>
        <v>19.786345361213179</v>
      </c>
      <c r="V81">
        <v>1856.4479344091901</v>
      </c>
      <c r="W81">
        <f t="shared" si="9"/>
        <v>2.8894695020424939</v>
      </c>
      <c r="X81">
        <f t="shared" si="15"/>
        <v>52.43483251569404</v>
      </c>
      <c r="Y81" s="24">
        <v>1.4166666666666665</v>
      </c>
      <c r="Z81" s="24">
        <v>80.235982837445604</v>
      </c>
      <c r="AA81" s="24">
        <f t="shared" si="10"/>
        <v>20.128827073403752</v>
      </c>
      <c r="AB81" s="24">
        <v>2384.5219550694715</v>
      </c>
      <c r="AC81" s="24">
        <f t="shared" si="11"/>
        <v>3.42693663934527</v>
      </c>
      <c r="AD81" s="24">
        <f t="shared" si="16"/>
        <v>52.539467798452627</v>
      </c>
    </row>
    <row r="82" spans="1:30" x14ac:dyDescent="0.25">
      <c r="A82" s="24">
        <v>2</v>
      </c>
      <c r="B82" s="24">
        <v>60.151094672258466</v>
      </c>
      <c r="C82" s="24">
        <f t="shared" si="2"/>
        <v>15.090124656250483</v>
      </c>
      <c r="D82" s="24">
        <v>478.37844993199627</v>
      </c>
      <c r="E82" s="24">
        <f t="shared" si="3"/>
        <v>1.4868876066101617</v>
      </c>
      <c r="F82" s="24">
        <f t="shared" si="12"/>
        <v>48.872958187155525</v>
      </c>
      <c r="G82">
        <f>1+6/14</f>
        <v>1.4285714285714286</v>
      </c>
      <c r="H82">
        <v>61.83100914145286</v>
      </c>
      <c r="I82">
        <f t="shared" si="4"/>
        <v>15.511565344738463</v>
      </c>
      <c r="J82">
        <v>869.5307145233312</v>
      </c>
      <c r="K82">
        <f t="shared" si="5"/>
        <v>1.8849974921079149</v>
      </c>
      <c r="L82">
        <f t="shared" si="13"/>
        <v>49.367312596199923</v>
      </c>
      <c r="M82" s="24">
        <v>1.5</v>
      </c>
      <c r="N82" s="24">
        <v>70.191074103945226</v>
      </c>
      <c r="O82" s="24">
        <f t="shared" si="6"/>
        <v>17.608857557053657</v>
      </c>
      <c r="P82" s="24">
        <v>1281.7938936625228</v>
      </c>
      <c r="Q82" s="24">
        <f t="shared" si="7"/>
        <v>2.3045938025460453</v>
      </c>
      <c r="R82" s="24">
        <f t="shared" si="14"/>
        <v>51.297523718352302</v>
      </c>
      <c r="S82">
        <v>1.5</v>
      </c>
      <c r="T82">
        <v>83.644363307201402</v>
      </c>
      <c r="U82">
        <f t="shared" si="8"/>
        <v>20.983888588822282</v>
      </c>
      <c r="V82">
        <v>1820.2363424656198</v>
      </c>
      <c r="W82">
        <f t="shared" si="9"/>
        <v>2.8526137964072271</v>
      </c>
      <c r="X82">
        <f t="shared" si="15"/>
        <v>52.717922375147296</v>
      </c>
      <c r="Y82" s="24">
        <v>1.5</v>
      </c>
      <c r="Z82" s="24">
        <v>82.90625604854155</v>
      </c>
      <c r="AA82" s="24">
        <f t="shared" si="10"/>
        <v>20.798719381120438</v>
      </c>
      <c r="AB82" s="24">
        <v>2365.7044379674517</v>
      </c>
      <c r="AC82" s="24">
        <f t="shared" si="11"/>
        <v>3.4077844056577975</v>
      </c>
      <c r="AD82" s="24">
        <f t="shared" si="16"/>
        <v>52.689112601696173</v>
      </c>
    </row>
    <row r="83" spans="1:30" x14ac:dyDescent="0.25">
      <c r="A83" s="24">
        <v>2.1666666700000001</v>
      </c>
      <c r="B83" s="24">
        <v>61.001373323522238</v>
      </c>
      <c r="C83" s="24">
        <f t="shared" si="2"/>
        <v>15.303434337645797</v>
      </c>
      <c r="D83" s="24">
        <v>470.34774187583156</v>
      </c>
      <c r="E83" s="24">
        <f t="shared" si="3"/>
        <v>1.478714052334448</v>
      </c>
      <c r="F83" s="24">
        <f t="shared" si="12"/>
        <v>49.127783566353664</v>
      </c>
      <c r="G83">
        <f>1.5</f>
        <v>1.5</v>
      </c>
      <c r="H83">
        <v>63.500398593597339</v>
      </c>
      <c r="I83">
        <f t="shared" si="4"/>
        <v>15.930365618780824</v>
      </c>
      <c r="J83">
        <v>857.61384467297171</v>
      </c>
      <c r="K83">
        <f t="shared" si="5"/>
        <v>1.8728686509350922</v>
      </c>
      <c r="L83">
        <f t="shared" si="13"/>
        <v>49.822361907584572</v>
      </c>
      <c r="M83" s="24">
        <v>1.5833333333333333</v>
      </c>
      <c r="N83" s="24">
        <v>72.194121959981459</v>
      </c>
      <c r="O83" s="24">
        <f t="shared" si="6"/>
        <v>18.111362823245635</v>
      </c>
      <c r="P83" s="24">
        <v>1267.1996261373752</v>
      </c>
      <c r="Q83" s="24">
        <f t="shared" si="7"/>
        <v>2.2897399394872937</v>
      </c>
      <c r="R83" s="24">
        <f t="shared" si="14"/>
        <v>51.634996585132555</v>
      </c>
      <c r="S83">
        <v>1.5833333333333333</v>
      </c>
      <c r="T83">
        <v>86.031328668977906</v>
      </c>
      <c r="U83">
        <f t="shared" si="8"/>
        <v>21.582707364367714</v>
      </c>
      <c r="V83">
        <v>1799.5114690891101</v>
      </c>
      <c r="W83">
        <f t="shared" si="9"/>
        <v>2.8315202793455327</v>
      </c>
      <c r="X83">
        <f t="shared" si="15"/>
        <v>52.774912480713745</v>
      </c>
      <c r="Y83" s="24">
        <v>1.5833333333333333</v>
      </c>
      <c r="Z83" s="24">
        <v>85.57658413127173</v>
      </c>
      <c r="AA83" s="24">
        <f t="shared" si="10"/>
        <v>21.468625454501826</v>
      </c>
      <c r="AB83" s="24">
        <v>2346.0315791789772</v>
      </c>
      <c r="AC83" s="24">
        <f t="shared" si="11"/>
        <v>3.3877616158936235</v>
      </c>
      <c r="AD83" s="24">
        <f t="shared" si="16"/>
        <v>52.768259835274229</v>
      </c>
    </row>
    <row r="84" spans="1:30" x14ac:dyDescent="0.25">
      <c r="G84">
        <f>1+8/14</f>
        <v>1.5714285714285714</v>
      </c>
      <c r="H84">
        <v>65.169730887789441</v>
      </c>
      <c r="I84">
        <f t="shared" si="4"/>
        <v>16.34915155358911</v>
      </c>
      <c r="J84">
        <v>846.25383789973591</v>
      </c>
      <c r="K84">
        <f t="shared" si="5"/>
        <v>1.8613065780413778</v>
      </c>
      <c r="L84">
        <f t="shared" si="13"/>
        <v>50.241981148738823</v>
      </c>
      <c r="M84" s="24">
        <v>1.6666666666666665</v>
      </c>
      <c r="N84" s="24">
        <v>74.197210969743438</v>
      </c>
      <c r="O84" s="24">
        <f t="shared" si="6"/>
        <v>18.613878413686155</v>
      </c>
      <c r="P84" s="24">
        <v>1252.1242289135969</v>
      </c>
      <c r="Q84" s="24">
        <f t="shared" si="7"/>
        <v>2.2743963886353975</v>
      </c>
      <c r="R84" s="24">
        <f t="shared" si="14"/>
        <v>51.926557674106427</v>
      </c>
      <c r="S84">
        <v>1.6666666666666665</v>
      </c>
      <c r="T84">
        <v>93.1927151695389</v>
      </c>
      <c r="U84">
        <f t="shared" si="8"/>
        <v>23.379286721632425</v>
      </c>
      <c r="V84">
        <v>1730.5044731211699</v>
      </c>
      <c r="W84">
        <f t="shared" si="9"/>
        <v>2.7612858214368128</v>
      </c>
      <c r="X84">
        <f t="shared" si="15"/>
        <v>52.631301328263426</v>
      </c>
      <c r="Y84" s="24">
        <v>1.6666666666666665</v>
      </c>
      <c r="Z84" s="24">
        <v>88.247058538359951</v>
      </c>
      <c r="AA84" s="24">
        <f t="shared" si="10"/>
        <v>22.138568236322438</v>
      </c>
      <c r="AB84" s="24">
        <v>2324.0778092266255</v>
      </c>
      <c r="AC84" s="24">
        <f t="shared" si="11"/>
        <v>3.3654173432582439</v>
      </c>
      <c r="AD84" s="24">
        <f t="shared" si="16"/>
        <v>52.779672707773621</v>
      </c>
    </row>
    <row r="85" spans="1:30" x14ac:dyDescent="0.25">
      <c r="G85">
        <f>1+9/14</f>
        <v>1.6428571428571428</v>
      </c>
      <c r="H85">
        <v>66.839291813791036</v>
      </c>
      <c r="I85">
        <f t="shared" si="4"/>
        <v>16.767994845333696</v>
      </c>
      <c r="J85">
        <v>832.66637881802046</v>
      </c>
      <c r="K85">
        <f t="shared" si="5"/>
        <v>1.8474774320312459</v>
      </c>
      <c r="L85">
        <f t="shared" si="13"/>
        <v>50.626913169287263</v>
      </c>
      <c r="M85" s="24">
        <v>1.75</v>
      </c>
      <c r="N85" s="24">
        <v>80.207150176549248</v>
      </c>
      <c r="O85" s="24">
        <f t="shared" si="6"/>
        <v>20.121593814400434</v>
      </c>
      <c r="P85" s="24">
        <v>1199.0395854979495</v>
      </c>
      <c r="Q85" s="24">
        <f t="shared" si="7"/>
        <v>2.2203675021249945</v>
      </c>
      <c r="R85" s="24">
        <f t="shared" si="14"/>
        <v>52.537457143865041</v>
      </c>
      <c r="S85">
        <v>1.75</v>
      </c>
      <c r="T85">
        <v>95.580187293721195</v>
      </c>
      <c r="U85">
        <f t="shared" si="8"/>
        <v>23.97823262882719</v>
      </c>
      <c r="V85">
        <v>1702.7194780449699</v>
      </c>
      <c r="W85">
        <f t="shared" si="9"/>
        <v>2.733006600760695</v>
      </c>
      <c r="X85">
        <f t="shared" si="15"/>
        <v>52.485132210507238</v>
      </c>
      <c r="Y85" s="24">
        <v>1.75</v>
      </c>
      <c r="Z85" s="24">
        <v>90.917514654903499</v>
      </c>
      <c r="AA85" s="24">
        <f t="shared" si="10"/>
        <v>22.808506429588167</v>
      </c>
      <c r="AB85" s="24">
        <v>2302.4091531697454</v>
      </c>
      <c r="AC85" s="24">
        <f t="shared" si="11"/>
        <v>3.3433632559817523</v>
      </c>
      <c r="AD85" s="24">
        <f t="shared" si="16"/>
        <v>52.726114220695344</v>
      </c>
    </row>
    <row r="86" spans="1:30" x14ac:dyDescent="0.25">
      <c r="G86">
        <f>1+10/14</f>
        <v>1.7142857142857144</v>
      </c>
      <c r="H86">
        <v>68.508955624106989</v>
      </c>
      <c r="I86">
        <f t="shared" si="4"/>
        <v>17.186863947699642</v>
      </c>
      <c r="J86">
        <v>818.07656619749139</v>
      </c>
      <c r="K86">
        <f t="shared" si="5"/>
        <v>1.8326281031187293</v>
      </c>
      <c r="L86">
        <f t="shared" si="13"/>
        <v>50.977795241569176</v>
      </c>
      <c r="M86" s="24">
        <v>1.8333333333333335</v>
      </c>
      <c r="N86" s="24">
        <v>84.214480500392725</v>
      </c>
      <c r="O86" s="24">
        <f t="shared" si="6"/>
        <v>21.126914074240361</v>
      </c>
      <c r="P86" s="24">
        <v>1155.4171594887237</v>
      </c>
      <c r="Q86" s="24">
        <f t="shared" si="7"/>
        <v>2.1759691422131295</v>
      </c>
      <c r="R86" s="24">
        <f t="shared" si="14"/>
        <v>52.7365250485066</v>
      </c>
      <c r="S86">
        <v>1.8333333333333335</v>
      </c>
      <c r="T86">
        <v>97.967806542472999</v>
      </c>
      <c r="U86">
        <f t="shared" si="8"/>
        <v>24.577215445210488</v>
      </c>
      <c r="V86">
        <v>1672.88477021725</v>
      </c>
      <c r="W86">
        <f t="shared" si="9"/>
        <v>2.7026412080674893</v>
      </c>
      <c r="X86">
        <f t="shared" si="15"/>
        <v>52.293095752602504</v>
      </c>
      <c r="Y86" s="24">
        <v>1.8333333333333335</v>
      </c>
      <c r="Z86" s="24">
        <v>93.588098805260316</v>
      </c>
      <c r="AA86" s="24">
        <f t="shared" si="10"/>
        <v>23.478476742738216</v>
      </c>
      <c r="AB86" s="24">
        <v>2278.7446998444848</v>
      </c>
      <c r="AC86" s="24">
        <f t="shared" si="11"/>
        <v>3.3192778711929689</v>
      </c>
      <c r="AD86" s="24">
        <f t="shared" si="16"/>
        <v>52.610346288984069</v>
      </c>
    </row>
    <row r="87" spans="1:30" x14ac:dyDescent="0.25">
      <c r="G87">
        <f>1+11/14</f>
        <v>1.7857142857142856</v>
      </c>
      <c r="H87">
        <v>70.178733750327268</v>
      </c>
      <c r="I87">
        <f t="shared" si="4"/>
        <v>17.605761728533633</v>
      </c>
      <c r="J87">
        <v>802.37302742272482</v>
      </c>
      <c r="K87">
        <f t="shared" si="5"/>
        <v>1.8166452376480067</v>
      </c>
      <c r="L87">
        <f t="shared" si="13"/>
        <v>51.295299883128116</v>
      </c>
      <c r="M87" s="24">
        <v>1.9166666666666667</v>
      </c>
      <c r="N87" s="24">
        <v>88.222414412213709</v>
      </c>
      <c r="O87" s="24">
        <f t="shared" si="6"/>
        <v>22.132385756392235</v>
      </c>
      <c r="P87" s="24">
        <v>1104.738164566236</v>
      </c>
      <c r="Q87" s="24">
        <f t="shared" si="7"/>
        <v>2.124388694668458</v>
      </c>
      <c r="R87" s="24">
        <f t="shared" si="14"/>
        <v>52.779868669541649</v>
      </c>
      <c r="S87">
        <v>1.9166666666666667</v>
      </c>
      <c r="T87">
        <v>105.131710507888</v>
      </c>
      <c r="U87">
        <f t="shared" si="8"/>
        <v>26.374426359700742</v>
      </c>
      <c r="V87">
        <v>1568.8049116121499</v>
      </c>
      <c r="W87">
        <f t="shared" si="9"/>
        <v>2.596710028977451</v>
      </c>
      <c r="X87">
        <f t="shared" si="15"/>
        <v>51.461467877331295</v>
      </c>
      <c r="Y87" s="24">
        <v>1.9166666666666667</v>
      </c>
      <c r="Z87" s="24">
        <v>104.27156942046311</v>
      </c>
      <c r="AA87" s="24">
        <f t="shared" si="10"/>
        <v>26.158642485742575</v>
      </c>
      <c r="AB87" s="24">
        <v>2166.4098250233237</v>
      </c>
      <c r="AC87" s="24">
        <f t="shared" si="11"/>
        <v>3.2049448397859259</v>
      </c>
      <c r="AD87" s="24">
        <f t="shared" si="16"/>
        <v>51.580416972861151</v>
      </c>
    </row>
    <row r="88" spans="1:30" x14ac:dyDescent="0.25">
      <c r="G88">
        <f>1+12/14</f>
        <v>1.8571428571428572</v>
      </c>
      <c r="H88">
        <v>71.848626192453153</v>
      </c>
      <c r="I88">
        <f t="shared" si="4"/>
        <v>18.024688187835991</v>
      </c>
      <c r="J88">
        <v>785.55576249371609</v>
      </c>
      <c r="K88">
        <f t="shared" si="5"/>
        <v>1.7995288356190731</v>
      </c>
      <c r="L88">
        <f t="shared" si="13"/>
        <v>51.580097135202784</v>
      </c>
      <c r="M88" s="24">
        <v>2</v>
      </c>
      <c r="N88" s="24">
        <v>90.226642008387699</v>
      </c>
      <c r="O88" s="24">
        <f t="shared" si="6"/>
        <v>22.635186984375721</v>
      </c>
      <c r="P88" s="24">
        <v>1076.3515123469917</v>
      </c>
      <c r="Q88" s="24">
        <f t="shared" si="7"/>
        <v>2.0954971148728641</v>
      </c>
      <c r="R88" s="24">
        <f t="shared" si="14"/>
        <v>52.746046263051831</v>
      </c>
      <c r="S88">
        <v>2</v>
      </c>
      <c r="T88">
        <v>107.520081726662</v>
      </c>
      <c r="U88">
        <f t="shared" si="8"/>
        <v>26.973597823047736</v>
      </c>
      <c r="V88">
        <v>1528.49389416553</v>
      </c>
      <c r="W88">
        <f t="shared" si="9"/>
        <v>2.5556819793079995</v>
      </c>
      <c r="X88">
        <f t="shared" si="15"/>
        <v>51.105646192665724</v>
      </c>
      <c r="Y88" s="24">
        <v>2</v>
      </c>
      <c r="Z88" s="24">
        <v>106.94286690206567</v>
      </c>
      <c r="AA88" s="24">
        <f t="shared" si="10"/>
        <v>26.82879175253392</v>
      </c>
      <c r="AB88" s="24">
        <v>2131.6259297741326</v>
      </c>
      <c r="AC88" s="24">
        <f t="shared" si="11"/>
        <v>3.1695422259999901</v>
      </c>
      <c r="AD88" s="24">
        <f t="shared" si="16"/>
        <v>51.195012951318795</v>
      </c>
    </row>
    <row r="89" spans="1:30" x14ac:dyDescent="0.25">
      <c r="G89">
        <f>1+13/14</f>
        <v>1.9285714285714286</v>
      </c>
      <c r="H89">
        <v>73.518678676844758</v>
      </c>
      <c r="I89">
        <f t="shared" si="4"/>
        <v>18.443654796993524</v>
      </c>
      <c r="J89">
        <v>767.17928094877493</v>
      </c>
      <c r="K89">
        <f t="shared" si="5"/>
        <v>1.7808254824086511</v>
      </c>
      <c r="L89">
        <f t="shared" si="13"/>
        <v>51.832863804708673</v>
      </c>
      <c r="M89" s="24">
        <v>2.083333333333333</v>
      </c>
      <c r="N89" s="24">
        <v>91.502059985283353</v>
      </c>
      <c r="O89" s="24">
        <f t="shared" si="6"/>
        <v>22.955151506468695</v>
      </c>
      <c r="P89" s="24">
        <v>1058.282419220621</v>
      </c>
      <c r="Q89" s="24">
        <f t="shared" si="7"/>
        <v>2.0771066177525079</v>
      </c>
      <c r="R89" s="24">
        <f t="shared" si="14"/>
        <v>52.705996405302606</v>
      </c>
      <c r="S89">
        <v>2.083333333333333</v>
      </c>
      <c r="T89">
        <v>109.03995481579599</v>
      </c>
      <c r="U89">
        <f t="shared" si="8"/>
        <v>27.35488887854186</v>
      </c>
      <c r="V89">
        <v>1502.83452712795</v>
      </c>
      <c r="W89">
        <f t="shared" si="9"/>
        <v>2.5295661962792382</v>
      </c>
      <c r="X89">
        <f t="shared" si="15"/>
        <v>50.860352096190105</v>
      </c>
      <c r="Y89" s="24">
        <v>2.083333333333333</v>
      </c>
      <c r="Z89" s="24">
        <v>109.6143289985712</v>
      </c>
      <c r="AA89" s="24">
        <f t="shared" si="10"/>
        <v>27.498982316319427</v>
      </c>
      <c r="AB89" s="24">
        <v>2094.2760094655778</v>
      </c>
      <c r="AC89" s="24">
        <f t="shared" si="11"/>
        <v>3.1315279439839467</v>
      </c>
      <c r="AD89" s="24">
        <f t="shared" si="16"/>
        <v>50.76396418335684</v>
      </c>
    </row>
    <row r="90" spans="1:30" x14ac:dyDescent="0.25">
      <c r="G90">
        <v>2</v>
      </c>
      <c r="H90">
        <v>75.188868340323069</v>
      </c>
      <c r="I90">
        <f t="shared" si="4"/>
        <v>18.862655820313101</v>
      </c>
      <c r="J90">
        <v>747.46632801874421</v>
      </c>
      <c r="K90">
        <f t="shared" si="5"/>
        <v>1.7607618853283775</v>
      </c>
      <c r="L90">
        <f t="shared" si="13"/>
        <v>52.054265118961567</v>
      </c>
    </row>
    <row r="91" spans="1:30" x14ac:dyDescent="0.25">
      <c r="G91">
        <f>2+1/14</f>
        <v>2.0714285714285716</v>
      </c>
      <c r="H91">
        <v>76.251716654402784</v>
      </c>
      <c r="I91">
        <f t="shared" si="4"/>
        <v>19.129292922057243</v>
      </c>
      <c r="J91">
        <v>734.91834668098682</v>
      </c>
      <c r="K91">
        <f t="shared" si="5"/>
        <v>1.7479907067725748</v>
      </c>
      <c r="L91">
        <f t="shared" si="13"/>
        <v>52.179124604028729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BB93B-0BDD-4BAE-BA3A-B7650B457595}">
  <sheetPr codeName="Sheet4"/>
  <dimension ref="B1:H23"/>
  <sheetViews>
    <sheetView workbookViewId="0">
      <selection activeCell="C24" sqref="C24"/>
    </sheetView>
  </sheetViews>
  <sheetFormatPr defaultRowHeight="15" x14ac:dyDescent="0.25"/>
  <cols>
    <col min="2" max="2" width="19.5703125" bestFit="1" customWidth="1"/>
    <col min="3" max="3" width="15.7109375" bestFit="1" customWidth="1"/>
    <col min="4" max="4" width="13.5703125" bestFit="1" customWidth="1"/>
    <col min="5" max="5" width="15.28515625" bestFit="1" customWidth="1"/>
    <col min="6" max="6" width="15.85546875" bestFit="1" customWidth="1"/>
    <col min="8" max="8" width="15.42578125" bestFit="1" customWidth="1"/>
  </cols>
  <sheetData>
    <row r="1" spans="2:8" x14ac:dyDescent="0.25">
      <c r="C1" t="s">
        <v>1</v>
      </c>
      <c r="D1" t="s">
        <v>2</v>
      </c>
      <c r="E1" t="s">
        <v>3</v>
      </c>
      <c r="F1" t="s">
        <v>5</v>
      </c>
      <c r="H1" t="s">
        <v>9</v>
      </c>
    </row>
    <row r="2" spans="2:8" x14ac:dyDescent="0.25">
      <c r="H2" t="str">
        <f>[3]Summary!H2</f>
        <v>CO2</v>
      </c>
    </row>
    <row r="3" spans="2:8" x14ac:dyDescent="0.25">
      <c r="B3" t="s">
        <v>36</v>
      </c>
      <c r="C3" s="4">
        <f>'Sunshot pump'!C4</f>
        <v>17.212710403618363</v>
      </c>
      <c r="D3" s="4">
        <f>'Sunshot pump'!D4</f>
        <v>191.36562063861248</v>
      </c>
      <c r="E3" s="2">
        <f>[1]!refprop("H", $H$2, "TP", "SI with C", C3,D3/10)</f>
        <v>228.44247377942168</v>
      </c>
      <c r="F3" t="str">
        <f>[1]!refprop("Phase", $H$2, "HP", "SI with C", E3,D3/10)</f>
        <v>Subcooled liquid</v>
      </c>
      <c r="H3" t="s">
        <v>10</v>
      </c>
    </row>
    <row r="4" spans="2:8" x14ac:dyDescent="0.25">
      <c r="B4" t="s">
        <v>38</v>
      </c>
      <c r="C4" s="4">
        <f>[1]!refprop("T",H2,"HP","SI with C",E4,D4/10)</f>
        <v>16.200955747245018</v>
      </c>
      <c r="D4" s="4">
        <f>D3-'Statepoint Summary'!B8</f>
        <v>149.36562063861248</v>
      </c>
      <c r="E4" s="2">
        <f>E3</f>
        <v>228.44247377942168</v>
      </c>
      <c r="F4" t="str">
        <f>[1]!refprop("Phase", $H$2, "HP", "SI with C", E4,D4/10)</f>
        <v>Subcooled liquid</v>
      </c>
      <c r="H4" s="11">
        <f>'Valve 2'!H4</f>
        <v>4</v>
      </c>
    </row>
    <row r="9" spans="2:8" x14ac:dyDescent="0.25">
      <c r="B9" t="s">
        <v>102</v>
      </c>
    </row>
    <row r="10" spans="2:8" x14ac:dyDescent="0.25">
      <c r="B10" t="s">
        <v>103</v>
      </c>
      <c r="C10">
        <f>[1]!refprop("D", $H$2, "TP", "SI with C", C3,D3/10)</f>
        <v>944.59127117306173</v>
      </c>
      <c r="D10" t="s">
        <v>97</v>
      </c>
    </row>
    <row r="11" spans="2:8" x14ac:dyDescent="0.25">
      <c r="B11" t="s">
        <v>104</v>
      </c>
      <c r="C11">
        <f>H4/C10</f>
        <v>4.2346357859442329E-3</v>
      </c>
      <c r="D11" t="s">
        <v>105</v>
      </c>
    </row>
    <row r="12" spans="2:8" x14ac:dyDescent="0.25">
      <c r="B12" t="s">
        <v>106</v>
      </c>
      <c r="C12">
        <v>40</v>
      </c>
      <c r="D12" t="s">
        <v>107</v>
      </c>
    </row>
    <row r="13" spans="2:8" x14ac:dyDescent="0.25">
      <c r="B13" t="s">
        <v>108</v>
      </c>
      <c r="C13">
        <f>C11/C12</f>
        <v>1.0586589464860583E-4</v>
      </c>
      <c r="D13" t="s">
        <v>109</v>
      </c>
    </row>
    <row r="14" spans="2:8" x14ac:dyDescent="0.25">
      <c r="B14" t="s">
        <v>110</v>
      </c>
      <c r="C14">
        <f>SQRT(4*C13/PI())</f>
        <v>1.161002340675382E-2</v>
      </c>
      <c r="D14" t="s">
        <v>25</v>
      </c>
    </row>
    <row r="15" spans="2:8" x14ac:dyDescent="0.25">
      <c r="B15" t="s">
        <v>110</v>
      </c>
      <c r="C15">
        <f>CONVERT(C14,"m","in")</f>
        <v>0.45708753569896932</v>
      </c>
      <c r="D15" t="s">
        <v>111</v>
      </c>
      <c r="E15" t="s">
        <v>112</v>
      </c>
    </row>
    <row r="16" spans="2:8" x14ac:dyDescent="0.25">
      <c r="E16" t="s">
        <v>120</v>
      </c>
      <c r="F16" t="s">
        <v>118</v>
      </c>
    </row>
    <row r="17" spans="2:5" x14ac:dyDescent="0.25">
      <c r="E17" t="s">
        <v>119</v>
      </c>
    </row>
    <row r="18" spans="2:5" x14ac:dyDescent="0.25">
      <c r="B18" t="s">
        <v>113</v>
      </c>
      <c r="C18">
        <f>CONVERT(D3*100000,"Pa","psi")</f>
        <v>2775.5236696761785</v>
      </c>
      <c r="D18" t="s">
        <v>35</v>
      </c>
    </row>
    <row r="19" spans="2:5" x14ac:dyDescent="0.25">
      <c r="B19" t="s">
        <v>114</v>
      </c>
      <c r="C19">
        <f>CONVERT(C3,"C","F")</f>
        <v>62.98287872651305</v>
      </c>
      <c r="D19" t="s">
        <v>61</v>
      </c>
    </row>
    <row r="20" spans="2:5" x14ac:dyDescent="0.25">
      <c r="B20" t="s">
        <v>115</v>
      </c>
      <c r="C20">
        <f>CONVERT('Statepoint Summary'!B8*100000,"Pa","psi")</f>
        <v>609.15849846687865</v>
      </c>
      <c r="D20" t="s">
        <v>35</v>
      </c>
    </row>
    <row r="21" spans="2:5" x14ac:dyDescent="0.25">
      <c r="B21" t="s">
        <v>116</v>
      </c>
      <c r="C21">
        <f>CONVERT(H4,"kg","lbm")</f>
        <v>8.8184904873951027</v>
      </c>
      <c r="D21" t="s">
        <v>117</v>
      </c>
    </row>
    <row r="23" spans="2:5" x14ac:dyDescent="0.25">
      <c r="B23" t="s">
        <v>121</v>
      </c>
      <c r="C23">
        <v>1.87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B0CD-DFDC-42BB-872A-E8583A74F37D}">
  <sheetPr codeName="Sheet5"/>
  <dimension ref="B1:H23"/>
  <sheetViews>
    <sheetView workbookViewId="0">
      <selection activeCell="H23" sqref="H23"/>
    </sheetView>
  </sheetViews>
  <sheetFormatPr defaultRowHeight="15" x14ac:dyDescent="0.25"/>
  <cols>
    <col min="2" max="2" width="19.5703125" bestFit="1" customWidth="1"/>
    <col min="3" max="3" width="15.7109375" bestFit="1" customWidth="1"/>
    <col min="4" max="4" width="13.5703125" bestFit="1" customWidth="1"/>
    <col min="5" max="5" width="15.28515625" bestFit="1" customWidth="1"/>
    <col min="6" max="6" width="15.85546875" bestFit="1" customWidth="1"/>
    <col min="8" max="8" width="15.42578125" bestFit="1" customWidth="1"/>
  </cols>
  <sheetData>
    <row r="1" spans="2:8" x14ac:dyDescent="0.25">
      <c r="C1" t="s">
        <v>1</v>
      </c>
      <c r="D1" t="s">
        <v>2</v>
      </c>
      <c r="E1" t="s">
        <v>3</v>
      </c>
      <c r="F1" t="s">
        <v>5</v>
      </c>
      <c r="H1" t="s">
        <v>9</v>
      </c>
    </row>
    <row r="2" spans="2:8" x14ac:dyDescent="0.25">
      <c r="H2" t="str">
        <f>[3]Summary!H2</f>
        <v>CO2</v>
      </c>
    </row>
    <row r="3" spans="2:8" x14ac:dyDescent="0.25">
      <c r="B3" t="s">
        <v>75</v>
      </c>
      <c r="C3" s="4">
        <f>'Valve 1'!C4</f>
        <v>16.200955747245018</v>
      </c>
      <c r="D3">
        <f>'Valve 1'!D4</f>
        <v>149.36562063861248</v>
      </c>
      <c r="E3" s="2">
        <f>'Valve 1'!E4</f>
        <v>228.44247377942168</v>
      </c>
      <c r="F3" t="str">
        <f>[1]!refprop("Phase", $H$2, "HP", "SI with C", E3,D3/10)</f>
        <v>Subcooled liquid</v>
      </c>
      <c r="H3" t="s">
        <v>10</v>
      </c>
    </row>
    <row r="4" spans="2:8" x14ac:dyDescent="0.25">
      <c r="B4" t="s">
        <v>37</v>
      </c>
      <c r="C4" s="4">
        <f>[1]!refprop("T",H2,"HP","SI with C",E4,D4/10)</f>
        <v>11.298489902915605</v>
      </c>
      <c r="D4" s="4">
        <f>D3-'Statepoint Summary'!B7</f>
        <v>50</v>
      </c>
      <c r="E4" s="2">
        <f>E3</f>
        <v>228.44247377942168</v>
      </c>
      <c r="F4" t="str">
        <f>[1]!refprop("Phase", $H$2, "HP", "SI with C", E4,D4/10)</f>
        <v>Subcooled liquid</v>
      </c>
      <c r="H4" s="10">
        <f>'Statepoint Summary'!B5</f>
        <v>4</v>
      </c>
    </row>
    <row r="8" spans="2:8" x14ac:dyDescent="0.25">
      <c r="D8">
        <v>150</v>
      </c>
      <c r="E8" t="s">
        <v>39</v>
      </c>
    </row>
    <row r="9" spans="2:8" x14ac:dyDescent="0.25">
      <c r="B9" t="s">
        <v>102</v>
      </c>
    </row>
    <row r="10" spans="2:8" x14ac:dyDescent="0.25">
      <c r="B10" t="s">
        <v>103</v>
      </c>
      <c r="C10">
        <f>[1]!refprop("D", $H$2, "TP", "SI with C", C3,D3/10)</f>
        <v>923.27246419695621</v>
      </c>
      <c r="D10" t="s">
        <v>97</v>
      </c>
    </row>
    <row r="11" spans="2:8" x14ac:dyDescent="0.25">
      <c r="B11" t="s">
        <v>104</v>
      </c>
      <c r="C11">
        <f>H4/C10</f>
        <v>4.3324155708240678E-3</v>
      </c>
      <c r="D11" t="s">
        <v>105</v>
      </c>
    </row>
    <row r="12" spans="2:8" x14ac:dyDescent="0.25">
      <c r="B12" t="s">
        <v>106</v>
      </c>
      <c r="C12">
        <v>40</v>
      </c>
      <c r="D12" t="s">
        <v>107</v>
      </c>
    </row>
    <row r="13" spans="2:8" x14ac:dyDescent="0.25">
      <c r="B13" t="s">
        <v>108</v>
      </c>
      <c r="C13">
        <f>C11/C12</f>
        <v>1.083103892706017E-4</v>
      </c>
      <c r="D13" t="s">
        <v>109</v>
      </c>
    </row>
    <row r="14" spans="2:8" x14ac:dyDescent="0.25">
      <c r="B14" t="s">
        <v>110</v>
      </c>
      <c r="C14">
        <f>SQRT(4*C13/PI())</f>
        <v>1.1743298971114938E-2</v>
      </c>
      <c r="D14" t="s">
        <v>25</v>
      </c>
    </row>
    <row r="15" spans="2:8" x14ac:dyDescent="0.25">
      <c r="B15" t="s">
        <v>110</v>
      </c>
      <c r="C15">
        <f>CONVERT(C14,"m","in")</f>
        <v>0.46233460516200542</v>
      </c>
      <c r="D15" t="s">
        <v>111</v>
      </c>
    </row>
    <row r="18" spans="2:4" x14ac:dyDescent="0.25">
      <c r="B18" t="s">
        <v>113</v>
      </c>
      <c r="C18">
        <f>CONVERT(D3*100000,"Pa","psi")</f>
        <v>2166.3651712093001</v>
      </c>
      <c r="D18" t="s">
        <v>35</v>
      </c>
    </row>
    <row r="19" spans="2:4" x14ac:dyDescent="0.25">
      <c r="B19" t="s">
        <v>114</v>
      </c>
      <c r="C19">
        <f>CONVERT(C3,"C","F")</f>
        <v>61.161720345041033</v>
      </c>
      <c r="D19" t="s">
        <v>61</v>
      </c>
    </row>
    <row r="20" spans="2:4" x14ac:dyDescent="0.25">
      <c r="B20" t="s">
        <v>115</v>
      </c>
      <c r="C20">
        <f>CONVERT('Statepoint Summary'!B8*100000,"Pa","psi")</f>
        <v>609.15849846687865</v>
      </c>
      <c r="D20" t="s">
        <v>35</v>
      </c>
    </row>
    <row r="21" spans="2:4" x14ac:dyDescent="0.25">
      <c r="B21" t="s">
        <v>116</v>
      </c>
      <c r="C21">
        <f>CONVERT(H4,"kg","lbm")</f>
        <v>8.8184904873951027</v>
      </c>
      <c r="D21" t="s">
        <v>117</v>
      </c>
    </row>
    <row r="23" spans="2:4" x14ac:dyDescent="0.25">
      <c r="B23" t="s">
        <v>121</v>
      </c>
      <c r="C23">
        <v>2.133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D17C-319B-49B2-90B0-297BC65C2BF6}">
  <sheetPr codeName="Sheet6"/>
  <dimension ref="B1:H4"/>
  <sheetViews>
    <sheetView workbookViewId="0">
      <selection activeCell="F3" sqref="F3"/>
    </sheetView>
  </sheetViews>
  <sheetFormatPr defaultRowHeight="15" x14ac:dyDescent="0.25"/>
  <cols>
    <col min="2" max="2" width="19.5703125" bestFit="1" customWidth="1"/>
    <col min="3" max="3" width="15.7109375" bestFit="1" customWidth="1"/>
    <col min="4" max="4" width="13.5703125" bestFit="1" customWidth="1"/>
    <col min="5" max="5" width="15.28515625" bestFit="1" customWidth="1"/>
    <col min="6" max="6" width="15.85546875" bestFit="1" customWidth="1"/>
    <col min="8" max="8" width="15.42578125" bestFit="1" customWidth="1"/>
  </cols>
  <sheetData>
    <row r="1" spans="2:8" x14ac:dyDescent="0.25">
      <c r="C1" t="s">
        <v>1</v>
      </c>
      <c r="D1" t="s">
        <v>2</v>
      </c>
      <c r="E1" t="s">
        <v>3</v>
      </c>
      <c r="F1" t="s">
        <v>5</v>
      </c>
      <c r="H1" t="s">
        <v>9</v>
      </c>
    </row>
    <row r="2" spans="2:8" x14ac:dyDescent="0.25">
      <c r="H2" t="str">
        <f>[3]Summary!H2</f>
        <v>CO2</v>
      </c>
    </row>
    <row r="3" spans="2:8" x14ac:dyDescent="0.25">
      <c r="B3" t="s">
        <v>74</v>
      </c>
      <c r="C3" s="4">
        <f>'Valve 2'!C4</f>
        <v>11.298489902915605</v>
      </c>
      <c r="D3" s="4">
        <f>'Valve 2'!D4</f>
        <v>50</v>
      </c>
      <c r="E3" s="2">
        <f>'Valve 2'!E4</f>
        <v>228.44247377942168</v>
      </c>
      <c r="F3" t="str">
        <f>[1]!refprop("Phase", $H$2, "HP", "SI with C", E3,D3/10)</f>
        <v>Subcooled liquid</v>
      </c>
      <c r="H3" t="s">
        <v>10</v>
      </c>
    </row>
    <row r="4" spans="2:8" x14ac:dyDescent="0.25">
      <c r="B4" t="s">
        <v>73</v>
      </c>
      <c r="C4" s="4">
        <f>[1]!refprop("T",H2,"HP","SI with C",E4,D4/10)</f>
        <v>11.298489902915605</v>
      </c>
      <c r="D4" s="4">
        <f>D3</f>
        <v>50</v>
      </c>
      <c r="E4" s="2">
        <f>E3</f>
        <v>228.44247377942168</v>
      </c>
      <c r="F4" t="str">
        <f>[1]!refprop("Phase", $H$2, "HP", "SI with C", E4,D4/10)</f>
        <v>Subcooled liquid</v>
      </c>
      <c r="H4" s="2">
        <f>'Valve 2'!H4</f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54F0-C3E0-4715-9962-8AADC9936391}">
  <sheetPr codeName="Sheet7"/>
  <dimension ref="B1:H4"/>
  <sheetViews>
    <sheetView workbookViewId="0">
      <selection activeCell="F10" sqref="F10"/>
    </sheetView>
  </sheetViews>
  <sheetFormatPr defaultRowHeight="15" x14ac:dyDescent="0.25"/>
  <cols>
    <col min="2" max="2" width="19.5703125" bestFit="1" customWidth="1"/>
    <col min="3" max="3" width="15.7109375" bestFit="1" customWidth="1"/>
    <col min="4" max="4" width="13.5703125" bestFit="1" customWidth="1"/>
    <col min="5" max="5" width="15.28515625" bestFit="1" customWidth="1"/>
    <col min="6" max="6" width="15.85546875" bestFit="1" customWidth="1"/>
    <col min="8" max="8" width="15.42578125" bestFit="1" customWidth="1"/>
  </cols>
  <sheetData>
    <row r="1" spans="2:8" x14ac:dyDescent="0.25">
      <c r="C1" t="s">
        <v>1</v>
      </c>
      <c r="D1" t="s">
        <v>2</v>
      </c>
      <c r="E1" t="s">
        <v>3</v>
      </c>
      <c r="F1" t="s">
        <v>5</v>
      </c>
      <c r="H1" t="s">
        <v>9</v>
      </c>
    </row>
    <row r="2" spans="2:8" x14ac:dyDescent="0.25">
      <c r="H2" t="str">
        <f>[3]Summary!H2</f>
        <v>CO2</v>
      </c>
    </row>
    <row r="3" spans="2:8" x14ac:dyDescent="0.25">
      <c r="B3" t="s">
        <v>13</v>
      </c>
      <c r="C3" s="4">
        <f>'Sunshot pump'!C4</f>
        <v>17.212710403618363</v>
      </c>
      <c r="D3" s="4">
        <f>'Sunshot pump'!D4</f>
        <v>191.36562063861248</v>
      </c>
      <c r="E3" s="2">
        <f>[1]!refprop("H", $H$2, "TP", "SI with C", C3,D3/10)</f>
        <v>228.44247377942168</v>
      </c>
      <c r="F3" t="str">
        <f>[1]!refprop("Phase", $H$2, "HP", "SI with C", E3,D3/10)</f>
        <v>Subcooled liquid</v>
      </c>
      <c r="H3" t="s">
        <v>10</v>
      </c>
    </row>
    <row r="4" spans="2:8" x14ac:dyDescent="0.25">
      <c r="B4" t="s">
        <v>14</v>
      </c>
      <c r="C4" s="4">
        <f>[1]!refprop("T",H2,"HP","SI with C",E4,D4/10)</f>
        <v>17.173674011079868</v>
      </c>
      <c r="D4" s="4">
        <f>'Recycle Valve'!D3-'Statepoint Summary'!B13</f>
        <v>189.36562063861248</v>
      </c>
      <c r="E4" s="2">
        <f>E3</f>
        <v>228.44247377942168</v>
      </c>
      <c r="F4" t="str">
        <f>[1]!refprop("Phase", $H$2, "HP", "SI with C", E4,D4/10)</f>
        <v>Subcooled liquid</v>
      </c>
      <c r="H4" s="2">
        <f>'Statepoint Summary'!B12</f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59DB-6C6C-4F94-BCEB-081F4FF8CB0A}">
  <sheetPr codeName="Sheet8"/>
  <dimension ref="B1:Q26"/>
  <sheetViews>
    <sheetView tabSelected="1" topLeftCell="B28" zoomScale="140" zoomScaleNormal="140" workbookViewId="0">
      <selection activeCell="P27" sqref="P27"/>
    </sheetView>
  </sheetViews>
  <sheetFormatPr defaultRowHeight="15" x14ac:dyDescent="0.25"/>
  <cols>
    <col min="2" max="2" width="34" bestFit="1" customWidth="1"/>
    <col min="3" max="3" width="19.5703125" bestFit="1" customWidth="1"/>
    <col min="4" max="4" width="13.5703125" bestFit="1" customWidth="1"/>
    <col min="5" max="5" width="15.28515625" bestFit="1" customWidth="1"/>
    <col min="8" max="8" width="10.7109375" bestFit="1" customWidth="1"/>
    <col min="10" max="10" width="10" bestFit="1" customWidth="1"/>
  </cols>
  <sheetData>
    <row r="1" spans="2:13" x14ac:dyDescent="0.25">
      <c r="C1" t="s">
        <v>1</v>
      </c>
      <c r="D1" t="s">
        <v>2</v>
      </c>
      <c r="E1" t="s">
        <v>3</v>
      </c>
      <c r="F1" t="s">
        <v>5</v>
      </c>
      <c r="H1" t="s">
        <v>9</v>
      </c>
    </row>
    <row r="2" spans="2:13" x14ac:dyDescent="0.25">
      <c r="H2" t="s">
        <v>32</v>
      </c>
    </row>
    <row r="3" spans="2:13" x14ac:dyDescent="0.25">
      <c r="B3" t="s">
        <v>30</v>
      </c>
      <c r="C3" s="2">
        <f>'Recycle Valve'!C4</f>
        <v>17.173674011079868</v>
      </c>
      <c r="D3" s="2">
        <v>40</v>
      </c>
      <c r="E3" s="2">
        <f>'Recycle Valve'!E4</f>
        <v>228.44247377942168</v>
      </c>
      <c r="F3" s="2" t="str">
        <f>[1]!refprop("Phase", $H$2, "HP", "SI with C", E3,D3/10)</f>
        <v>Two-phase</v>
      </c>
      <c r="H3" s="2">
        <f>'Statepoint Summary'!B12</f>
        <v>8</v>
      </c>
    </row>
    <row r="4" spans="2:13" x14ac:dyDescent="0.25">
      <c r="B4" t="s">
        <v>31</v>
      </c>
      <c r="C4" s="2">
        <f>'Test Section'!C4</f>
        <v>11.298489902915605</v>
      </c>
      <c r="D4" s="2">
        <f>'Test Section'!D4</f>
        <v>50</v>
      </c>
      <c r="E4" s="2">
        <f>'Test Section'!E4</f>
        <v>228.44247377942168</v>
      </c>
      <c r="F4" s="2" t="str">
        <f>[1]!refprop("Phase", $H$2, "HP", "SI with C", E4,D4/10)</f>
        <v>Subcooled liquid</v>
      </c>
      <c r="H4" s="2">
        <f>'Test Section'!H4</f>
        <v>4</v>
      </c>
    </row>
    <row r="5" spans="2:13" x14ac:dyDescent="0.25">
      <c r="B5" t="s">
        <v>33</v>
      </c>
      <c r="C5" s="2">
        <f>[1]!refprop("T", $H$2, "HP", "SI with C", E5,D5/10)</f>
        <v>11.298489902915605</v>
      </c>
      <c r="D5" s="2">
        <f>D4</f>
        <v>50</v>
      </c>
      <c r="E5" s="2">
        <f>(E3*H3+E4*H4)/H5</f>
        <v>228.44247377942168</v>
      </c>
      <c r="F5" s="2" t="str">
        <f>[1]!refprop("Phase", $H$2, "HP", "SI with C", E5,D5/10)</f>
        <v>Subcooled liquid</v>
      </c>
      <c r="H5" s="2">
        <f>H3+H4</f>
        <v>12</v>
      </c>
      <c r="L5" t="s">
        <v>50</v>
      </c>
    </row>
    <row r="6" spans="2:13" x14ac:dyDescent="0.25">
      <c r="B6" t="s">
        <v>26</v>
      </c>
      <c r="C6" s="2">
        <f>[1]!refprop("T", $H$2, "HP", "SI with C", E6,D6/10)</f>
        <v>8.332468512580931</v>
      </c>
      <c r="D6" s="2">
        <f>D5-'Statepoint Summary'!B10</f>
        <v>49</v>
      </c>
      <c r="E6" s="2">
        <f>E5-(L6/H5)</f>
        <v>220.10914044608833</v>
      </c>
      <c r="F6" s="2" t="str">
        <f>[1]!refprop("Phase", $H$2, "HP", "SI with C", E6,D6/10)</f>
        <v>Subcooled liquid</v>
      </c>
      <c r="H6" s="2">
        <f>H5</f>
        <v>12</v>
      </c>
      <c r="L6">
        <f>'Statepoint Summary'!B11</f>
        <v>100</v>
      </c>
      <c r="M6" t="s">
        <v>51</v>
      </c>
    </row>
    <row r="8" spans="2:13" x14ac:dyDescent="0.25">
      <c r="H8" t="s">
        <v>34</v>
      </c>
      <c r="L8" t="s">
        <v>69</v>
      </c>
    </row>
    <row r="9" spans="2:13" x14ac:dyDescent="0.25">
      <c r="B9" t="s">
        <v>27</v>
      </c>
      <c r="C9" s="2">
        <f>CONVERT(45,"F","C")</f>
        <v>7.2222222222222223</v>
      </c>
      <c r="D9" s="2">
        <v>1</v>
      </c>
      <c r="E9" s="2">
        <f>[1]!refprop("H", "H2O", "TP", "SI with C", D9,C9/10)</f>
        <v>4.9079263273798235</v>
      </c>
      <c r="F9" s="2"/>
      <c r="H9" s="2">
        <f>CONVERT(381557,"lbm","kg")/3600</f>
        <v>48.075373311136119</v>
      </c>
      <c r="L9">
        <v>6.28</v>
      </c>
      <c r="M9" t="s">
        <v>35</v>
      </c>
    </row>
    <row r="10" spans="2:13" x14ac:dyDescent="0.25">
      <c r="B10" t="s">
        <v>28</v>
      </c>
      <c r="C10" s="2">
        <f>CONVERT(55,"F","C")</f>
        <v>12.777777777777777</v>
      </c>
      <c r="D10" s="2">
        <f>CONVERT(7.05,"psi","Pa")/100000</f>
        <v>0.48608038916836949</v>
      </c>
      <c r="E10" s="2">
        <f>[1]!refprop("H", "H2O", "TP", "SI with C", D10,C10/10)</f>
        <v>3.3061242175844821</v>
      </c>
      <c r="F10" s="2"/>
      <c r="H10" s="2">
        <f>H9</f>
        <v>48.075373311136119</v>
      </c>
      <c r="L10">
        <f>CONVERT(L9,"psi","Pa")/100000</f>
        <v>0.43299075801097314</v>
      </c>
      <c r="M10" t="s">
        <v>70</v>
      </c>
    </row>
    <row r="16" spans="2:13" x14ac:dyDescent="0.25">
      <c r="B16" t="s">
        <v>71</v>
      </c>
    </row>
    <row r="17" spans="2:17" x14ac:dyDescent="0.25">
      <c r="B17" t="s">
        <v>58</v>
      </c>
      <c r="C17">
        <v>233.54</v>
      </c>
      <c r="D17" t="s">
        <v>59</v>
      </c>
    </row>
    <row r="18" spans="2:17" x14ac:dyDescent="0.25">
      <c r="B18" t="s">
        <v>60</v>
      </c>
      <c r="C18">
        <v>31.14</v>
      </c>
      <c r="D18" t="s">
        <v>61</v>
      </c>
    </row>
    <row r="19" spans="2:17" x14ac:dyDescent="0.25">
      <c r="B19" t="s">
        <v>62</v>
      </c>
      <c r="C19">
        <v>526.1</v>
      </c>
      <c r="D19" t="s">
        <v>63</v>
      </c>
    </row>
    <row r="20" spans="2:17" x14ac:dyDescent="0.25">
      <c r="B20" t="s">
        <v>64</v>
      </c>
      <c r="C20" s="17">
        <f>C17*C18*C19</f>
        <v>3826028.3691600002</v>
      </c>
      <c r="D20" t="s">
        <v>65</v>
      </c>
    </row>
    <row r="21" spans="2:17" x14ac:dyDescent="0.25">
      <c r="B21" t="s">
        <v>64</v>
      </c>
      <c r="C21">
        <f>CONVERT(C20,"BTU","J")/(3600*1000)</f>
        <v>1121.2982286590036</v>
      </c>
      <c r="D21" t="s">
        <v>51</v>
      </c>
    </row>
    <row r="22" spans="2:17" x14ac:dyDescent="0.25">
      <c r="B22" t="s">
        <v>122</v>
      </c>
      <c r="C22">
        <v>130320</v>
      </c>
      <c r="D22" t="s">
        <v>123</v>
      </c>
    </row>
    <row r="23" spans="2:17" x14ac:dyDescent="0.25">
      <c r="B23" t="s">
        <v>122</v>
      </c>
      <c r="C23">
        <f>CONVERT(C22,"lbm","kg")/3600</f>
        <v>16.420043794000001</v>
      </c>
      <c r="D23" t="s">
        <v>124</v>
      </c>
    </row>
    <row r="24" spans="2:17" x14ac:dyDescent="0.25">
      <c r="B24" t="s">
        <v>125</v>
      </c>
      <c r="C24">
        <f>(H6/C23)*C21</f>
        <v>819.46058809080671</v>
      </c>
    </row>
    <row r="25" spans="2:17" x14ac:dyDescent="0.25">
      <c r="P25">
        <f>CONVERT(98,"F","C")</f>
        <v>36.666666666666664</v>
      </c>
      <c r="Q25" t="s">
        <v>111</v>
      </c>
    </row>
    <row r="26" spans="2:17" x14ac:dyDescent="0.25">
      <c r="P26">
        <f>CONVERT(68,"F","C")</f>
        <v>20</v>
      </c>
      <c r="Q26" t="s">
        <v>146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EBBE-1230-489A-A5EF-9470AE0DCE38}">
  <dimension ref="A1:B35"/>
  <sheetViews>
    <sheetView workbookViewId="0">
      <selection activeCell="G20" sqref="G20"/>
    </sheetView>
  </sheetViews>
  <sheetFormatPr defaultRowHeight="15" x14ac:dyDescent="0.25"/>
  <cols>
    <col min="1" max="1" width="15.5703125" bestFit="1" customWidth="1"/>
    <col min="2" max="2" width="12" bestFit="1" customWidth="1"/>
  </cols>
  <sheetData>
    <row r="1" spans="1:2" x14ac:dyDescent="0.25">
      <c r="A1" s="22" t="s">
        <v>131</v>
      </c>
      <c r="B1" s="22"/>
    </row>
    <row r="2" spans="1:2" x14ac:dyDescent="0.25">
      <c r="A2" t="s">
        <v>128</v>
      </c>
      <c r="B2">
        <v>1.5</v>
      </c>
    </row>
    <row r="3" spans="1:2" x14ac:dyDescent="0.25">
      <c r="A3" t="s">
        <v>129</v>
      </c>
      <c r="B3">
        <f>CONVERT(B2,"in","m")</f>
        <v>3.8100000000000002E-2</v>
      </c>
    </row>
    <row r="4" spans="1:2" x14ac:dyDescent="0.25">
      <c r="A4" t="s">
        <v>130</v>
      </c>
      <c r="B4">
        <f>'Statepoint Summary'!B5</f>
        <v>4</v>
      </c>
    </row>
    <row r="5" spans="1:2" x14ac:dyDescent="0.25">
      <c r="A5" t="s">
        <v>133</v>
      </c>
      <c r="B5">
        <f>0.25*PI()*B3^2</f>
        <v>1.1400918279693699E-3</v>
      </c>
    </row>
    <row r="6" spans="1:2" x14ac:dyDescent="0.25">
      <c r="A6" t="s">
        <v>141</v>
      </c>
      <c r="B6">
        <v>20</v>
      </c>
    </row>
    <row r="7" spans="1:2" x14ac:dyDescent="0.25">
      <c r="A7" t="s">
        <v>142</v>
      </c>
      <c r="B7">
        <v>2</v>
      </c>
    </row>
    <row r="8" spans="1:2" x14ac:dyDescent="0.25">
      <c r="A8" t="s">
        <v>143</v>
      </c>
      <c r="B8">
        <v>0</v>
      </c>
    </row>
    <row r="9" spans="1:2" x14ac:dyDescent="0.25">
      <c r="A9" t="s">
        <v>134</v>
      </c>
      <c r="B9">
        <f>[1]!refprop("D","CO2","TH","SI with C",'Test Section'!C3,'Test Section'!E3)</f>
        <v>857.15008467207531</v>
      </c>
    </row>
    <row r="10" spans="1:2" x14ac:dyDescent="0.25">
      <c r="A10" t="s">
        <v>136</v>
      </c>
      <c r="B10">
        <f>[1]!refprop("V","CO2","TH","SI with C",'Test Section'!C3,'Test Section'!E3)</f>
        <v>1.1666568292792296E-3</v>
      </c>
    </row>
    <row r="11" spans="1:2" x14ac:dyDescent="0.25">
      <c r="A11" t="s">
        <v>135</v>
      </c>
      <c r="B11">
        <f>B4/(B9*B5)</f>
        <v>4.0932030233292256</v>
      </c>
    </row>
    <row r="12" spans="1:2" x14ac:dyDescent="0.25">
      <c r="A12" t="s">
        <v>137</v>
      </c>
      <c r="B12">
        <f>B11*B3*B9/B10</f>
        <v>114578.20300027695</v>
      </c>
    </row>
    <row r="13" spans="1:2" x14ac:dyDescent="0.25">
      <c r="A13" t="s">
        <v>139</v>
      </c>
      <c r="B13">
        <v>1.5E-5</v>
      </c>
    </row>
    <row r="14" spans="1:2" x14ac:dyDescent="0.25">
      <c r="A14" t="s">
        <v>138</v>
      </c>
      <c r="B14">
        <f>-1.8*LOG10((B13/(3.7*B3))^1.11+(6.9/B12))</f>
        <v>7.2069161259413814</v>
      </c>
    </row>
    <row r="15" spans="1:2" x14ac:dyDescent="0.25">
      <c r="A15" t="s">
        <v>140</v>
      </c>
      <c r="B15">
        <f>(1/B14)^2</f>
        <v>1.9253117640159665E-2</v>
      </c>
    </row>
    <row r="16" spans="1:2" x14ac:dyDescent="0.25">
      <c r="A16" t="s">
        <v>144</v>
      </c>
      <c r="B16">
        <f>0.5*B9*(B11^2)*(B15*((B6/B3) + (B7*30) +( B8*20)))</f>
        <v>80865.199839797599</v>
      </c>
    </row>
    <row r="17" spans="1:2" x14ac:dyDescent="0.25">
      <c r="A17" t="s">
        <v>145</v>
      </c>
      <c r="B17">
        <f>B16/100000</f>
        <v>0.80865199839797597</v>
      </c>
    </row>
    <row r="19" spans="1:2" x14ac:dyDescent="0.25">
      <c r="A19" s="22" t="s">
        <v>132</v>
      </c>
      <c r="B19" s="22"/>
    </row>
    <row r="20" spans="1:2" x14ac:dyDescent="0.25">
      <c r="A20" t="s">
        <v>128</v>
      </c>
      <c r="B20">
        <v>3</v>
      </c>
    </row>
    <row r="21" spans="1:2" x14ac:dyDescent="0.25">
      <c r="A21" t="s">
        <v>129</v>
      </c>
      <c r="B21">
        <f>CONVERT(B20,"in","m")</f>
        <v>7.6200000000000004E-2</v>
      </c>
    </row>
    <row r="22" spans="1:2" x14ac:dyDescent="0.25">
      <c r="A22" t="s">
        <v>130</v>
      </c>
      <c r="B22" s="2">
        <f>'Sunshot pump'!N4</f>
        <v>12</v>
      </c>
    </row>
    <row r="23" spans="1:2" x14ac:dyDescent="0.25">
      <c r="A23" t="s">
        <v>133</v>
      </c>
      <c r="B23">
        <f>0.25*PI()*B21^2</f>
        <v>4.5603673118774796E-3</v>
      </c>
    </row>
    <row r="24" spans="1:2" x14ac:dyDescent="0.25">
      <c r="A24" t="s">
        <v>141</v>
      </c>
      <c r="B24">
        <v>20</v>
      </c>
    </row>
    <row r="25" spans="1:2" x14ac:dyDescent="0.25">
      <c r="A25" t="s">
        <v>142</v>
      </c>
      <c r="B25">
        <v>2</v>
      </c>
    </row>
    <row r="26" spans="1:2" x14ac:dyDescent="0.25">
      <c r="A26" t="s">
        <v>143</v>
      </c>
      <c r="B26">
        <v>2</v>
      </c>
    </row>
    <row r="27" spans="1:2" x14ac:dyDescent="0.25">
      <c r="A27" t="s">
        <v>134</v>
      </c>
      <c r="B27">
        <f>[1]!refprop("D","CO2","TH","SI with C",Cooler!C6,Cooler!E6)</f>
        <v>881.12774691053687</v>
      </c>
    </row>
    <row r="28" spans="1:2" x14ac:dyDescent="0.25">
      <c r="A28" t="s">
        <v>136</v>
      </c>
      <c r="B28">
        <f>[1]!refprop("V","CO2","TH","SI with C",Cooler!C6,Cooler!E6)</f>
        <v>1.134909215498275E-3</v>
      </c>
    </row>
    <row r="29" spans="1:2" x14ac:dyDescent="0.25">
      <c r="A29" t="s">
        <v>135</v>
      </c>
      <c r="B29">
        <f>B22/(B27*B23)</f>
        <v>2.9863626446292688</v>
      </c>
    </row>
    <row r="30" spans="1:2" x14ac:dyDescent="0.25">
      <c r="A30" t="s">
        <v>137</v>
      </c>
      <c r="B30">
        <f>B29*B21*B27/B28</f>
        <v>176675.06950077033</v>
      </c>
    </row>
    <row r="31" spans="1:2" x14ac:dyDescent="0.25">
      <c r="A31" t="s">
        <v>139</v>
      </c>
      <c r="B31">
        <v>1.5E-5</v>
      </c>
    </row>
    <row r="32" spans="1:2" x14ac:dyDescent="0.25">
      <c r="A32" t="s">
        <v>138</v>
      </c>
      <c r="B32">
        <f>-1.8*LOG10((B31/(3.7*B21))^1.11+(6.9/B30))</f>
        <v>7.6383823044713646</v>
      </c>
    </row>
    <row r="33" spans="1:2" x14ac:dyDescent="0.25">
      <c r="A33" t="s">
        <v>140</v>
      </c>
      <c r="B33">
        <f>(1/B32)^2</f>
        <v>1.7139463265889516E-2</v>
      </c>
    </row>
    <row r="34" spans="1:2" x14ac:dyDescent="0.25">
      <c r="A34" t="s">
        <v>144</v>
      </c>
      <c r="B34">
        <f>0.5*B27*(B29^2)*(B33*((B24/B21) + (B25*30) +( B26*20)))</f>
        <v>24409.556645053832</v>
      </c>
    </row>
    <row r="35" spans="1:2" x14ac:dyDescent="0.25">
      <c r="A35" t="s">
        <v>145</v>
      </c>
      <c r="B35">
        <f>B34/100000</f>
        <v>0.24409556645053831</v>
      </c>
    </row>
  </sheetData>
  <mergeCells count="2">
    <mergeCell ref="A1:B1"/>
    <mergeCell ref="A19:B1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1DDEC-34D4-40E0-9BE3-3A30EC256369}">
  <sheetPr codeName="Sheet10"/>
  <dimension ref="B3:U123"/>
  <sheetViews>
    <sheetView workbookViewId="0">
      <selection sqref="A1:XFD1048576"/>
    </sheetView>
  </sheetViews>
  <sheetFormatPr defaultRowHeight="15" x14ac:dyDescent="0.25"/>
  <sheetData>
    <row r="3" spans="2:21" x14ac:dyDescent="0.25">
      <c r="B3" t="s">
        <v>87</v>
      </c>
      <c r="C3" t="s">
        <v>88</v>
      </c>
      <c r="D3" t="s">
        <v>89</v>
      </c>
      <c r="E3" t="s">
        <v>90</v>
      </c>
      <c r="F3" t="s">
        <v>91</v>
      </c>
      <c r="G3" t="s">
        <v>92</v>
      </c>
      <c r="H3" t="s">
        <v>93</v>
      </c>
      <c r="I3" t="s">
        <v>94</v>
      </c>
      <c r="K3" t="s">
        <v>87</v>
      </c>
      <c r="L3" t="s">
        <v>88</v>
      </c>
      <c r="M3" t="s">
        <v>89</v>
      </c>
      <c r="N3" t="s">
        <v>91</v>
      </c>
      <c r="O3" t="s">
        <v>93</v>
      </c>
      <c r="Q3" t="s">
        <v>87</v>
      </c>
      <c r="R3" t="s">
        <v>88</v>
      </c>
      <c r="S3" t="s">
        <v>89</v>
      </c>
      <c r="T3" t="s">
        <v>91</v>
      </c>
      <c r="U3" t="s">
        <v>93</v>
      </c>
    </row>
    <row r="4" spans="2:21" x14ac:dyDescent="0.25">
      <c r="B4" s="19" t="s">
        <v>95</v>
      </c>
      <c r="C4" s="19" t="s">
        <v>96</v>
      </c>
      <c r="D4" s="19" t="s">
        <v>97</v>
      </c>
      <c r="E4" s="19" t="s">
        <v>97</v>
      </c>
      <c r="F4" s="19" t="s">
        <v>98</v>
      </c>
      <c r="G4" s="19" t="s">
        <v>98</v>
      </c>
      <c r="H4" s="19" t="s">
        <v>99</v>
      </c>
      <c r="I4" s="19" t="s">
        <v>99</v>
      </c>
      <c r="K4" s="19" t="s">
        <v>95</v>
      </c>
      <c r="L4" s="19" t="s">
        <v>96</v>
      </c>
      <c r="M4" s="19" t="s">
        <v>97</v>
      </c>
      <c r="N4" s="19" t="s">
        <v>98</v>
      </c>
      <c r="O4" s="19" t="s">
        <v>99</v>
      </c>
      <c r="Q4" s="19" t="s">
        <v>95</v>
      </c>
      <c r="R4" s="19" t="s">
        <v>96</v>
      </c>
      <c r="S4" s="19" t="s">
        <v>97</v>
      </c>
      <c r="T4" s="19" t="s">
        <v>98</v>
      </c>
      <c r="U4" s="19" t="s">
        <v>99</v>
      </c>
    </row>
    <row r="5" spans="2:21" x14ac:dyDescent="0.25">
      <c r="B5" s="16">
        <v>-56</v>
      </c>
      <c r="C5" s="16">
        <v>0.53064999999999996</v>
      </c>
      <c r="D5" s="16">
        <v>1176.5</v>
      </c>
      <c r="E5" s="16">
        <v>14.082000000000001</v>
      </c>
      <c r="F5" s="16">
        <v>81.129000000000005</v>
      </c>
      <c r="G5" s="16">
        <v>430.62</v>
      </c>
      <c r="H5" s="16">
        <v>0.52630999999999994</v>
      </c>
      <c r="I5" s="16">
        <v>2.1358000000000001</v>
      </c>
      <c r="K5" s="16">
        <v>-56.55</v>
      </c>
      <c r="L5" s="16">
        <v>0.55535999999999996</v>
      </c>
      <c r="M5" s="16">
        <v>1178.5</v>
      </c>
      <c r="N5" s="16">
        <v>80.061999999999998</v>
      </c>
      <c r="O5" s="16">
        <v>0.52129000000000003</v>
      </c>
      <c r="Q5">
        <v>-80</v>
      </c>
      <c r="R5">
        <v>8.9238999999999999E-2</v>
      </c>
      <c r="S5">
        <v>2.4935</v>
      </c>
      <c r="T5">
        <v>421.76</v>
      </c>
      <c r="U5">
        <v>2.4142999999999999</v>
      </c>
    </row>
    <row r="6" spans="2:21" x14ac:dyDescent="0.25">
      <c r="B6" s="16">
        <v>-55</v>
      </c>
      <c r="C6" s="16">
        <v>0.55396999999999996</v>
      </c>
      <c r="D6" s="16">
        <v>1172.9000000000001</v>
      </c>
      <c r="E6" s="16">
        <v>14.673</v>
      </c>
      <c r="F6" s="16">
        <v>83.090999999999994</v>
      </c>
      <c r="G6" s="16">
        <v>430.99</v>
      </c>
      <c r="H6" s="16">
        <v>0.53524000000000005</v>
      </c>
      <c r="I6" s="16">
        <v>2.13</v>
      </c>
      <c r="K6">
        <v>-56.5</v>
      </c>
      <c r="L6">
        <v>0.78925999999999996</v>
      </c>
      <c r="M6">
        <v>1178.8</v>
      </c>
      <c r="N6">
        <v>80.224999999999994</v>
      </c>
      <c r="O6">
        <v>0.52112999999999998</v>
      </c>
      <c r="Q6">
        <v>-79</v>
      </c>
      <c r="R6">
        <v>9.6956000000000001E-2</v>
      </c>
      <c r="S6">
        <v>2.6987999999999999</v>
      </c>
      <c r="T6">
        <v>422.31</v>
      </c>
      <c r="U6">
        <v>2.4018000000000002</v>
      </c>
    </row>
    <row r="7" spans="2:21" x14ac:dyDescent="0.25">
      <c r="B7" s="16">
        <v>-54</v>
      </c>
      <c r="C7" s="16">
        <v>0.57804999999999995</v>
      </c>
      <c r="D7" s="16">
        <v>1169.2</v>
      </c>
      <c r="E7" s="16">
        <v>15.282999999999999</v>
      </c>
      <c r="F7" s="16">
        <v>85.055999999999997</v>
      </c>
      <c r="G7" s="16">
        <v>431.34</v>
      </c>
      <c r="H7" s="16">
        <v>0.54413</v>
      </c>
      <c r="I7" s="16">
        <v>2.1242999999999999</v>
      </c>
      <c r="K7">
        <v>-56.45</v>
      </c>
      <c r="L7">
        <v>1.0233000000000001</v>
      </c>
      <c r="M7">
        <v>1179.0999999999999</v>
      </c>
      <c r="N7">
        <v>80.388999999999996</v>
      </c>
      <c r="O7">
        <v>0.52097000000000004</v>
      </c>
      <c r="Q7">
        <v>-78</v>
      </c>
      <c r="R7">
        <v>0.10525</v>
      </c>
      <c r="S7">
        <v>2.9188999999999998</v>
      </c>
      <c r="T7">
        <v>422.85</v>
      </c>
      <c r="U7">
        <v>2.3894000000000002</v>
      </c>
    </row>
    <row r="8" spans="2:21" x14ac:dyDescent="0.25">
      <c r="B8" s="16">
        <v>-53</v>
      </c>
      <c r="C8" s="16">
        <v>0.60290999999999995</v>
      </c>
      <c r="D8" s="16">
        <v>1165.5999999999999</v>
      </c>
      <c r="E8" s="16">
        <v>15.913</v>
      </c>
      <c r="F8" s="16">
        <v>87.022999999999996</v>
      </c>
      <c r="G8" s="16">
        <v>431.69</v>
      </c>
      <c r="H8" s="16">
        <v>0.55298999999999998</v>
      </c>
      <c r="I8" s="16">
        <v>2.1185999999999998</v>
      </c>
      <c r="K8">
        <v>-56.4</v>
      </c>
      <c r="L8">
        <v>1.2574000000000001</v>
      </c>
      <c r="M8">
        <v>1179.4000000000001</v>
      </c>
      <c r="N8">
        <v>80.554000000000002</v>
      </c>
      <c r="O8">
        <v>0.52081999999999995</v>
      </c>
      <c r="Q8">
        <v>-77</v>
      </c>
      <c r="R8">
        <v>0.11416999999999999</v>
      </c>
      <c r="S8">
        <v>3.1547999999999998</v>
      </c>
      <c r="T8">
        <v>423.38</v>
      </c>
      <c r="U8">
        <v>2.3771</v>
      </c>
    </row>
    <row r="9" spans="2:21" x14ac:dyDescent="0.25">
      <c r="B9" s="16">
        <v>-52</v>
      </c>
      <c r="C9" s="16">
        <v>0.62856999999999996</v>
      </c>
      <c r="D9" s="16">
        <v>1161.9000000000001</v>
      </c>
      <c r="E9" s="16">
        <v>16.562999999999999</v>
      </c>
      <c r="F9" s="16">
        <v>88.994</v>
      </c>
      <c r="G9" s="16">
        <v>432.03</v>
      </c>
      <c r="H9" s="16">
        <v>0.56181999999999999</v>
      </c>
      <c r="I9" s="16">
        <v>2.113</v>
      </c>
      <c r="K9">
        <v>-56.35</v>
      </c>
      <c r="L9">
        <v>1.4916</v>
      </c>
      <c r="M9">
        <v>1179.7</v>
      </c>
      <c r="N9">
        <v>80.718000000000004</v>
      </c>
      <c r="O9">
        <v>0.52066000000000001</v>
      </c>
      <c r="Q9">
        <v>-76</v>
      </c>
      <c r="R9">
        <v>0.12375</v>
      </c>
      <c r="S9">
        <v>3.4075000000000002</v>
      </c>
      <c r="T9">
        <v>423.9</v>
      </c>
      <c r="U9">
        <v>2.3649</v>
      </c>
    </row>
    <row r="10" spans="2:21" x14ac:dyDescent="0.25">
      <c r="B10" s="16">
        <v>-51</v>
      </c>
      <c r="C10" s="16">
        <v>0.65503999999999996</v>
      </c>
      <c r="D10" s="16">
        <v>1158.3</v>
      </c>
      <c r="E10" s="16">
        <v>17.233000000000001</v>
      </c>
      <c r="F10" s="16">
        <v>90.966999999999999</v>
      </c>
      <c r="G10" s="16">
        <v>432.36</v>
      </c>
      <c r="H10" s="16">
        <v>0.57062000000000002</v>
      </c>
      <c r="I10" s="16">
        <v>2.1074000000000002</v>
      </c>
      <c r="K10">
        <v>-56.3</v>
      </c>
      <c r="L10">
        <v>1.726</v>
      </c>
      <c r="M10">
        <v>1180.0999999999999</v>
      </c>
      <c r="N10">
        <v>80.882999999999996</v>
      </c>
      <c r="O10">
        <v>0.52049999999999996</v>
      </c>
      <c r="Q10">
        <v>-75</v>
      </c>
      <c r="R10">
        <v>0.13402</v>
      </c>
      <c r="S10">
        <v>3.6779999999999999</v>
      </c>
      <c r="T10">
        <v>424.41</v>
      </c>
      <c r="U10">
        <v>2.3527999999999998</v>
      </c>
    </row>
    <row r="11" spans="2:21" x14ac:dyDescent="0.25">
      <c r="B11">
        <v>-50</v>
      </c>
      <c r="C11">
        <v>0.68233999999999995</v>
      </c>
      <c r="D11">
        <v>1154.5999999999999</v>
      </c>
      <c r="E11">
        <v>17.925000000000001</v>
      </c>
      <c r="F11">
        <v>92.942999999999998</v>
      </c>
      <c r="G11">
        <v>432.68</v>
      </c>
      <c r="H11">
        <v>0.57938999999999996</v>
      </c>
      <c r="I11">
        <v>2.1017999999999999</v>
      </c>
      <c r="K11">
        <v>-56.25</v>
      </c>
      <c r="L11">
        <v>1.9603999999999999</v>
      </c>
      <c r="M11">
        <v>1180.4000000000001</v>
      </c>
      <c r="N11">
        <v>81.046999999999997</v>
      </c>
      <c r="O11">
        <v>0.52034999999999998</v>
      </c>
      <c r="Q11">
        <v>-74</v>
      </c>
      <c r="R11">
        <v>0.14504</v>
      </c>
      <c r="S11">
        <v>3.9676</v>
      </c>
      <c r="T11">
        <v>424.9</v>
      </c>
      <c r="U11">
        <v>2.3408000000000002</v>
      </c>
    </row>
    <row r="12" spans="2:21" x14ac:dyDescent="0.25">
      <c r="B12">
        <v>-45</v>
      </c>
      <c r="C12">
        <v>0.83184000000000002</v>
      </c>
      <c r="D12">
        <v>1135.8</v>
      </c>
      <c r="E12">
        <v>21.716999999999999</v>
      </c>
      <c r="F12">
        <v>102.87</v>
      </c>
      <c r="G12">
        <v>434.13</v>
      </c>
      <c r="H12">
        <v>0.62282000000000004</v>
      </c>
      <c r="I12">
        <v>2.0747</v>
      </c>
      <c r="K12" s="16">
        <v>-56.2</v>
      </c>
      <c r="L12" s="16">
        <v>2.1949999999999998</v>
      </c>
      <c r="M12" s="16">
        <v>1180.7</v>
      </c>
      <c r="N12" s="16">
        <v>81.212000000000003</v>
      </c>
      <c r="O12" s="16">
        <v>0.52019000000000004</v>
      </c>
      <c r="Q12">
        <v>-73</v>
      </c>
      <c r="R12">
        <v>0.15686</v>
      </c>
      <c r="S12">
        <v>4.2773000000000003</v>
      </c>
      <c r="T12">
        <v>425.38</v>
      </c>
      <c r="U12">
        <v>2.3288000000000002</v>
      </c>
    </row>
    <row r="13" spans="2:21" x14ac:dyDescent="0.25">
      <c r="B13">
        <v>-40</v>
      </c>
      <c r="C13">
        <v>1.0044999999999999</v>
      </c>
      <c r="D13">
        <v>1116.4000000000001</v>
      </c>
      <c r="E13">
        <v>26.120999999999999</v>
      </c>
      <c r="F13">
        <v>112.9</v>
      </c>
      <c r="G13">
        <v>435.32</v>
      </c>
      <c r="H13">
        <v>0.66564000000000001</v>
      </c>
      <c r="I13">
        <v>2.0485000000000002</v>
      </c>
      <c r="K13" s="16">
        <v>-56</v>
      </c>
      <c r="L13" s="16">
        <v>3.1343999999999999</v>
      </c>
      <c r="M13" s="16">
        <v>1181.9000000000001</v>
      </c>
      <c r="N13" s="16">
        <v>81.875</v>
      </c>
      <c r="O13" s="16">
        <v>0.51958000000000004</v>
      </c>
      <c r="Q13">
        <v>-72</v>
      </c>
      <c r="R13">
        <v>0.16950999999999999</v>
      </c>
      <c r="S13">
        <v>4.6086</v>
      </c>
      <c r="T13">
        <v>425.85</v>
      </c>
      <c r="U13">
        <v>2.3170000000000002</v>
      </c>
    </row>
    <row r="14" spans="2:21" x14ac:dyDescent="0.25">
      <c r="B14">
        <v>-35</v>
      </c>
      <c r="C14">
        <v>1.2023999999999999</v>
      </c>
      <c r="D14">
        <v>1096.4000000000001</v>
      </c>
      <c r="E14">
        <v>31.216000000000001</v>
      </c>
      <c r="F14">
        <v>123.05</v>
      </c>
      <c r="G14">
        <v>436.23</v>
      </c>
      <c r="H14">
        <v>0.70794000000000001</v>
      </c>
      <c r="I14">
        <v>2.0230000000000001</v>
      </c>
      <c r="K14" s="16">
        <v>-55.8</v>
      </c>
      <c r="L14" s="16">
        <v>4.0757000000000003</v>
      </c>
      <c r="M14" s="16">
        <v>1183.0999999999999</v>
      </c>
      <c r="N14" s="16">
        <v>82.540999999999997</v>
      </c>
      <c r="O14" s="16">
        <v>0.51898</v>
      </c>
      <c r="Q14">
        <v>-71</v>
      </c>
      <c r="R14">
        <v>0.18304999999999999</v>
      </c>
      <c r="S14">
        <v>4.9626000000000001</v>
      </c>
      <c r="T14">
        <v>426.3</v>
      </c>
      <c r="U14">
        <v>2.3052000000000001</v>
      </c>
    </row>
    <row r="15" spans="2:21" x14ac:dyDescent="0.25">
      <c r="B15">
        <v>-30</v>
      </c>
      <c r="C15">
        <v>1.4278</v>
      </c>
      <c r="D15">
        <v>1075.7</v>
      </c>
      <c r="E15">
        <v>37.097999999999999</v>
      </c>
      <c r="F15">
        <v>133.34</v>
      </c>
      <c r="G15">
        <v>436.82</v>
      </c>
      <c r="H15">
        <v>0.74982000000000004</v>
      </c>
      <c r="I15">
        <v>1.998</v>
      </c>
      <c r="K15" s="16">
        <v>-55.6</v>
      </c>
      <c r="L15" s="16">
        <v>5.0187999999999997</v>
      </c>
      <c r="M15" s="16">
        <v>1184.3</v>
      </c>
      <c r="N15" s="16">
        <v>83.21</v>
      </c>
      <c r="O15" s="16">
        <v>0.51839999999999997</v>
      </c>
      <c r="Q15">
        <v>-70</v>
      </c>
      <c r="R15">
        <v>0.19753000000000001</v>
      </c>
      <c r="S15">
        <v>5.3410000000000002</v>
      </c>
      <c r="T15">
        <v>426.74</v>
      </c>
      <c r="U15">
        <v>2.2934000000000001</v>
      </c>
    </row>
    <row r="16" spans="2:21" x14ac:dyDescent="0.25">
      <c r="B16">
        <v>-25</v>
      </c>
      <c r="C16">
        <v>1.6827000000000001</v>
      </c>
      <c r="D16">
        <v>1054.2</v>
      </c>
      <c r="E16">
        <v>43.88</v>
      </c>
      <c r="F16">
        <v>143.79</v>
      </c>
      <c r="G16">
        <v>437.06</v>
      </c>
      <c r="H16">
        <v>0.79140999999999995</v>
      </c>
      <c r="I16">
        <v>1.9732000000000001</v>
      </c>
      <c r="K16" s="16">
        <v>-55.4</v>
      </c>
      <c r="L16" s="16">
        <v>5.9637000000000002</v>
      </c>
      <c r="M16" s="16">
        <v>1185.4000000000001</v>
      </c>
      <c r="N16" s="16">
        <v>83.882999999999996</v>
      </c>
      <c r="O16" s="16">
        <v>0.51781999999999995</v>
      </c>
      <c r="Q16">
        <v>-69</v>
      </c>
      <c r="R16">
        <v>0.21301999999999999</v>
      </c>
      <c r="S16">
        <v>5.7451999999999996</v>
      </c>
      <c r="T16">
        <v>427.16</v>
      </c>
      <c r="U16">
        <v>2.2816999999999998</v>
      </c>
    </row>
    <row r="17" spans="2:21" x14ac:dyDescent="0.25">
      <c r="B17">
        <v>-20</v>
      </c>
      <c r="C17">
        <v>1.9696</v>
      </c>
      <c r="D17">
        <v>1031.7</v>
      </c>
      <c r="E17">
        <v>51.7</v>
      </c>
      <c r="F17">
        <v>154.44999999999999</v>
      </c>
      <c r="G17">
        <v>436.89</v>
      </c>
      <c r="H17">
        <v>0.83282999999999996</v>
      </c>
      <c r="I17">
        <v>1.9484999999999999</v>
      </c>
      <c r="K17" s="16">
        <v>-55.2</v>
      </c>
      <c r="L17" s="16">
        <v>6.9104000000000001</v>
      </c>
      <c r="M17" s="16">
        <v>1186.5999999999999</v>
      </c>
      <c r="N17" s="16">
        <v>84.558999999999997</v>
      </c>
      <c r="O17" s="16">
        <v>0.51726000000000005</v>
      </c>
      <c r="Q17">
        <v>-68</v>
      </c>
      <c r="R17">
        <v>0.22958000000000001</v>
      </c>
      <c r="S17">
        <v>6.1769999999999996</v>
      </c>
      <c r="T17">
        <v>427.56</v>
      </c>
      <c r="U17">
        <v>2.2700999999999998</v>
      </c>
    </row>
    <row r="18" spans="2:21" x14ac:dyDescent="0.25">
      <c r="B18">
        <v>-15</v>
      </c>
      <c r="C18">
        <v>2.2907999999999999</v>
      </c>
      <c r="D18">
        <v>1008</v>
      </c>
      <c r="E18">
        <v>60.728000000000002</v>
      </c>
      <c r="F18">
        <v>165.34</v>
      </c>
      <c r="G18">
        <v>436.27</v>
      </c>
      <c r="H18">
        <v>0.87421000000000004</v>
      </c>
      <c r="I18">
        <v>1.9237</v>
      </c>
      <c r="K18" s="16">
        <v>-55</v>
      </c>
      <c r="L18" s="16">
        <v>7.8589000000000002</v>
      </c>
      <c r="M18" s="16">
        <v>1187.8</v>
      </c>
      <c r="N18" s="16">
        <v>85.239000000000004</v>
      </c>
      <c r="O18" s="16">
        <v>0.51671</v>
      </c>
      <c r="Q18">
        <v>-67</v>
      </c>
      <c r="R18">
        <v>0.24725</v>
      </c>
      <c r="S18">
        <v>6.6379000000000001</v>
      </c>
      <c r="T18">
        <v>427.94</v>
      </c>
      <c r="U18">
        <v>2.2585999999999999</v>
      </c>
    </row>
    <row r="19" spans="2:21" x14ac:dyDescent="0.25">
      <c r="B19">
        <v>-10</v>
      </c>
      <c r="C19">
        <v>2.6486999999999998</v>
      </c>
      <c r="D19">
        <v>982.93</v>
      </c>
      <c r="E19">
        <v>71.185000000000002</v>
      </c>
      <c r="F19">
        <v>176.52</v>
      </c>
      <c r="G19">
        <v>435.14</v>
      </c>
      <c r="H19">
        <v>0.91571000000000002</v>
      </c>
      <c r="I19">
        <v>1.8985000000000001</v>
      </c>
      <c r="K19" s="16">
        <v>-54.8</v>
      </c>
      <c r="L19" s="16">
        <v>8.8092000000000006</v>
      </c>
      <c r="M19" s="16">
        <v>1188.9000000000001</v>
      </c>
      <c r="N19" s="16">
        <v>85.921000000000006</v>
      </c>
      <c r="O19" s="16">
        <v>0.51617999999999997</v>
      </c>
      <c r="Q19">
        <v>-66</v>
      </c>
      <c r="R19">
        <v>0.26612999999999998</v>
      </c>
      <c r="S19">
        <v>7.1300999999999997</v>
      </c>
      <c r="T19">
        <v>428.3</v>
      </c>
      <c r="U19">
        <v>2.2469999999999999</v>
      </c>
    </row>
    <row r="20" spans="2:21" x14ac:dyDescent="0.25">
      <c r="B20">
        <v>-5</v>
      </c>
      <c r="C20">
        <v>3.0459000000000001</v>
      </c>
      <c r="D20">
        <v>956.21</v>
      </c>
      <c r="E20">
        <v>83.358999999999995</v>
      </c>
      <c r="F20">
        <v>188.05</v>
      </c>
      <c r="G20">
        <v>433.38</v>
      </c>
      <c r="H20">
        <v>0.95755999999999997</v>
      </c>
      <c r="I20">
        <v>1.8725000000000001</v>
      </c>
      <c r="K20" s="16">
        <v>-54.6</v>
      </c>
      <c r="L20" s="16">
        <v>9.7614000000000001</v>
      </c>
      <c r="M20" s="16">
        <v>1190.0999999999999</v>
      </c>
      <c r="N20" s="16">
        <v>86.606999999999999</v>
      </c>
      <c r="O20" s="16">
        <v>0.51565000000000005</v>
      </c>
      <c r="Q20">
        <v>-65</v>
      </c>
      <c r="R20">
        <v>0.28626000000000001</v>
      </c>
      <c r="S20">
        <v>7.6554000000000002</v>
      </c>
      <c r="T20">
        <v>428.64</v>
      </c>
      <c r="U20">
        <v>2.2355</v>
      </c>
    </row>
    <row r="21" spans="2:21" x14ac:dyDescent="0.25">
      <c r="B21">
        <v>0</v>
      </c>
      <c r="C21">
        <v>3.4851000000000001</v>
      </c>
      <c r="D21">
        <v>927.43</v>
      </c>
      <c r="E21">
        <v>97.647000000000006</v>
      </c>
      <c r="F21">
        <v>200</v>
      </c>
      <c r="G21">
        <v>430.89</v>
      </c>
      <c r="H21">
        <v>1</v>
      </c>
      <c r="I21">
        <v>1.8452999999999999</v>
      </c>
      <c r="K21" s="16">
        <v>-54.4</v>
      </c>
      <c r="L21" s="16">
        <v>10.715</v>
      </c>
      <c r="M21" s="16">
        <v>1191.2</v>
      </c>
      <c r="N21" s="16">
        <v>87.296000000000006</v>
      </c>
      <c r="O21" s="16">
        <v>0.51514000000000004</v>
      </c>
      <c r="Q21">
        <v>-64</v>
      </c>
      <c r="R21">
        <v>0.30773</v>
      </c>
      <c r="S21">
        <v>8.2159999999999993</v>
      </c>
      <c r="T21">
        <v>428.95</v>
      </c>
      <c r="U21">
        <v>2.2241</v>
      </c>
    </row>
    <row r="22" spans="2:21" x14ac:dyDescent="0.25">
      <c r="B22">
        <v>5</v>
      </c>
      <c r="C22">
        <v>3.9695</v>
      </c>
      <c r="D22">
        <v>896.03</v>
      </c>
      <c r="E22">
        <v>114.62</v>
      </c>
      <c r="F22">
        <v>212.5</v>
      </c>
      <c r="G22">
        <v>427.48</v>
      </c>
      <c r="H22">
        <v>1.0434000000000001</v>
      </c>
      <c r="I22">
        <v>1.8163</v>
      </c>
      <c r="K22" s="16">
        <v>-54.2</v>
      </c>
      <c r="L22" s="16">
        <v>11.670999999999999</v>
      </c>
      <c r="M22" s="16">
        <v>1192.3</v>
      </c>
      <c r="N22" s="16">
        <v>87.986999999999995</v>
      </c>
      <c r="O22" s="16">
        <v>0.51463000000000003</v>
      </c>
      <c r="Q22">
        <v>-63</v>
      </c>
      <c r="R22">
        <v>0.33062000000000002</v>
      </c>
      <c r="S22">
        <v>8.8142999999999994</v>
      </c>
      <c r="T22">
        <v>429.24</v>
      </c>
      <c r="U22">
        <v>2.2126999999999999</v>
      </c>
    </row>
    <row r="23" spans="2:21" x14ac:dyDescent="0.25">
      <c r="B23">
        <v>10</v>
      </c>
      <c r="C23">
        <v>4.5022000000000002</v>
      </c>
      <c r="D23">
        <v>861.12</v>
      </c>
      <c r="E23">
        <v>135.16</v>
      </c>
      <c r="F23">
        <v>225.73</v>
      </c>
      <c r="G23">
        <v>422.88</v>
      </c>
      <c r="H23">
        <v>1.0884</v>
      </c>
      <c r="I23">
        <v>1.7847</v>
      </c>
      <c r="K23" s="16">
        <v>-54</v>
      </c>
      <c r="L23" s="16">
        <v>12.629</v>
      </c>
      <c r="M23" s="16">
        <v>1193.4000000000001</v>
      </c>
      <c r="N23" s="16">
        <v>88.682000000000002</v>
      </c>
      <c r="O23" s="16">
        <v>0.51414000000000004</v>
      </c>
      <c r="Q23">
        <v>-62</v>
      </c>
      <c r="R23">
        <v>0.35499999999999998</v>
      </c>
      <c r="S23">
        <v>9.4527999999999999</v>
      </c>
      <c r="T23">
        <v>429.51</v>
      </c>
      <c r="U23">
        <v>2.2012</v>
      </c>
    </row>
    <row r="24" spans="2:21" x14ac:dyDescent="0.25">
      <c r="B24">
        <v>15</v>
      </c>
      <c r="C24">
        <v>5.0871000000000004</v>
      </c>
      <c r="D24">
        <v>821.21</v>
      </c>
      <c r="E24">
        <v>160.72999999999999</v>
      </c>
      <c r="F24">
        <v>239.99</v>
      </c>
      <c r="G24">
        <v>416.64</v>
      </c>
      <c r="H24">
        <v>1.1358999999999999</v>
      </c>
      <c r="I24">
        <v>1.7488999999999999</v>
      </c>
      <c r="K24" s="16">
        <v>-53.8</v>
      </c>
      <c r="L24" s="16">
        <v>13.587999999999999</v>
      </c>
      <c r="M24" s="16">
        <v>1194.5</v>
      </c>
      <c r="N24" s="16">
        <v>89.38</v>
      </c>
      <c r="O24" s="16">
        <v>0.51366000000000001</v>
      </c>
      <c r="Q24">
        <v>-61</v>
      </c>
      <c r="R24">
        <v>0.38096000000000002</v>
      </c>
      <c r="S24">
        <v>10.134</v>
      </c>
      <c r="T24">
        <v>429.75</v>
      </c>
      <c r="U24">
        <v>2.1898</v>
      </c>
    </row>
    <row r="25" spans="2:21" x14ac:dyDescent="0.25">
      <c r="B25">
        <v>20</v>
      </c>
      <c r="C25">
        <v>5.7290999999999999</v>
      </c>
      <c r="D25">
        <v>773.39</v>
      </c>
      <c r="E25">
        <v>194.2</v>
      </c>
      <c r="F25">
        <v>255.87</v>
      </c>
      <c r="G25">
        <v>407.87</v>
      </c>
      <c r="H25">
        <v>1.1877</v>
      </c>
      <c r="I25">
        <v>1.7061999999999999</v>
      </c>
      <c r="K25" s="16">
        <v>-53.6</v>
      </c>
      <c r="L25" s="16">
        <v>14.548999999999999</v>
      </c>
      <c r="M25" s="16">
        <v>1195.5999999999999</v>
      </c>
      <c r="N25" s="16">
        <v>90.08</v>
      </c>
      <c r="O25" s="16">
        <v>0.51317999999999997</v>
      </c>
      <c r="Q25">
        <v>-60</v>
      </c>
      <c r="R25">
        <v>0.40860999999999997</v>
      </c>
      <c r="S25">
        <v>10.861000000000001</v>
      </c>
      <c r="T25">
        <v>429.96</v>
      </c>
      <c r="U25">
        <v>2.1783999999999999</v>
      </c>
    </row>
    <row r="26" spans="2:21" x14ac:dyDescent="0.25">
      <c r="B26">
        <v>25</v>
      </c>
      <c r="C26">
        <v>6.4341999999999997</v>
      </c>
      <c r="D26">
        <v>710.5</v>
      </c>
      <c r="E26">
        <v>242.73</v>
      </c>
      <c r="F26">
        <v>274.77999999999997</v>
      </c>
      <c r="G26">
        <v>394.43</v>
      </c>
      <c r="H26">
        <v>1.2484999999999999</v>
      </c>
      <c r="I26">
        <v>1.6497999999999999</v>
      </c>
      <c r="K26" s="16">
        <v>-53.4</v>
      </c>
      <c r="L26" s="16">
        <v>15.512</v>
      </c>
      <c r="M26" s="16">
        <v>1196.7</v>
      </c>
      <c r="N26" s="16">
        <v>90.784000000000006</v>
      </c>
      <c r="O26" s="16">
        <v>0.51271999999999995</v>
      </c>
      <c r="Q26">
        <v>-59</v>
      </c>
      <c r="R26">
        <v>0.43802000000000002</v>
      </c>
      <c r="S26">
        <v>11.637</v>
      </c>
      <c r="T26">
        <v>430.13</v>
      </c>
      <c r="U26">
        <v>2.1669999999999998</v>
      </c>
    </row>
    <row r="27" spans="2:21" x14ac:dyDescent="0.25">
      <c r="B27">
        <v>30</v>
      </c>
      <c r="C27">
        <v>7.2137000000000002</v>
      </c>
      <c r="D27">
        <v>593.30999999999995</v>
      </c>
      <c r="E27">
        <v>345.1</v>
      </c>
      <c r="F27">
        <v>304.55</v>
      </c>
      <c r="G27">
        <v>365.13</v>
      </c>
      <c r="H27">
        <v>1.3434999999999999</v>
      </c>
      <c r="I27">
        <v>1.5432999999999999</v>
      </c>
      <c r="K27" s="16">
        <v>-53.2</v>
      </c>
      <c r="L27" s="16">
        <v>16.477</v>
      </c>
      <c r="M27" s="16">
        <v>1197.8</v>
      </c>
      <c r="N27" s="16">
        <v>91.49</v>
      </c>
      <c r="O27" s="16">
        <v>0.51227</v>
      </c>
      <c r="Q27">
        <v>-58</v>
      </c>
      <c r="R27">
        <v>0.46931</v>
      </c>
      <c r="S27">
        <v>12.465999999999999</v>
      </c>
      <c r="T27">
        <v>430.27</v>
      </c>
      <c r="U27">
        <v>2.1556000000000002</v>
      </c>
    </row>
    <row r="28" spans="2:21" x14ac:dyDescent="0.25">
      <c r="B28">
        <v>30.1</v>
      </c>
      <c r="C28">
        <v>7.2302</v>
      </c>
      <c r="D28">
        <v>588.59</v>
      </c>
      <c r="E28">
        <v>349.53</v>
      </c>
      <c r="F28">
        <v>305.63</v>
      </c>
      <c r="G28">
        <v>363.86</v>
      </c>
      <c r="H28">
        <v>1.3469</v>
      </c>
      <c r="I28">
        <v>1.5389999999999999</v>
      </c>
      <c r="K28" s="16">
        <v>-53</v>
      </c>
      <c r="L28" s="16">
        <v>17.443999999999999</v>
      </c>
      <c r="M28" s="16">
        <v>1198.8</v>
      </c>
      <c r="N28" s="16">
        <v>92.198999999999998</v>
      </c>
      <c r="O28" s="16">
        <v>0.51182000000000005</v>
      </c>
      <c r="Q28">
        <v>-57</v>
      </c>
      <c r="R28">
        <v>0.50258000000000003</v>
      </c>
      <c r="S28">
        <v>13.35</v>
      </c>
      <c r="T28">
        <v>430.38</v>
      </c>
      <c r="U28">
        <v>2.1440999999999999</v>
      </c>
    </row>
    <row r="29" spans="2:21" x14ac:dyDescent="0.25">
      <c r="B29">
        <v>30.2</v>
      </c>
      <c r="C29">
        <v>7.2466999999999997</v>
      </c>
      <c r="D29">
        <v>583.52</v>
      </c>
      <c r="E29">
        <v>354.31</v>
      </c>
      <c r="F29">
        <v>306.77</v>
      </c>
      <c r="G29">
        <v>362.5</v>
      </c>
      <c r="H29">
        <v>1.3506</v>
      </c>
      <c r="I29">
        <v>1.5343</v>
      </c>
      <c r="K29" s="16">
        <v>-52.8</v>
      </c>
      <c r="L29" s="16">
        <v>18.411999999999999</v>
      </c>
      <c r="M29" s="16">
        <v>1199.9000000000001</v>
      </c>
      <c r="N29" s="16">
        <v>92.91</v>
      </c>
      <c r="O29" s="16">
        <v>0.51139000000000001</v>
      </c>
    </row>
    <row r="30" spans="2:21" x14ac:dyDescent="0.25">
      <c r="B30">
        <v>30.3</v>
      </c>
      <c r="C30">
        <v>7.2633000000000001</v>
      </c>
      <c r="D30">
        <v>578.02</v>
      </c>
      <c r="E30">
        <v>359.52</v>
      </c>
      <c r="F30">
        <v>308</v>
      </c>
      <c r="G30">
        <v>361.02</v>
      </c>
      <c r="H30">
        <v>1.3545</v>
      </c>
      <c r="I30">
        <v>1.5293000000000001</v>
      </c>
      <c r="K30" s="16">
        <v>-52.6</v>
      </c>
      <c r="L30" s="16">
        <v>19.382999999999999</v>
      </c>
      <c r="M30" s="16">
        <v>1200.9000000000001</v>
      </c>
      <c r="N30" s="16">
        <v>93.625</v>
      </c>
      <c r="O30" s="16">
        <v>0.51095999999999997</v>
      </c>
    </row>
    <row r="31" spans="2:21" x14ac:dyDescent="0.25">
      <c r="B31">
        <v>30.4</v>
      </c>
      <c r="C31">
        <v>7.28</v>
      </c>
      <c r="D31">
        <v>572</v>
      </c>
      <c r="E31">
        <v>365.27</v>
      </c>
      <c r="F31">
        <v>309.33</v>
      </c>
      <c r="G31">
        <v>359.39</v>
      </c>
      <c r="H31">
        <v>1.3588</v>
      </c>
      <c r="I31">
        <v>1.5237000000000001</v>
      </c>
      <c r="K31" s="16">
        <v>-52.4</v>
      </c>
      <c r="L31" s="16">
        <v>20.355</v>
      </c>
      <c r="M31" s="16">
        <v>1202</v>
      </c>
      <c r="N31" s="16">
        <v>94.341999999999999</v>
      </c>
      <c r="O31" s="16">
        <v>0.51053999999999999</v>
      </c>
    </row>
    <row r="32" spans="2:21" x14ac:dyDescent="0.25">
      <c r="B32">
        <v>30.5</v>
      </c>
      <c r="C32">
        <v>7.2967000000000004</v>
      </c>
      <c r="D32">
        <v>565.29</v>
      </c>
      <c r="E32">
        <v>371.73</v>
      </c>
      <c r="F32">
        <v>310.81</v>
      </c>
      <c r="G32">
        <v>357.57</v>
      </c>
      <c r="H32">
        <v>1.3635999999999999</v>
      </c>
      <c r="I32">
        <v>1.5176000000000001</v>
      </c>
      <c r="K32" s="16">
        <v>-52.2</v>
      </c>
      <c r="L32" s="16">
        <v>21.329000000000001</v>
      </c>
      <c r="M32" s="16">
        <v>1203</v>
      </c>
      <c r="N32" s="16">
        <v>95.061000000000007</v>
      </c>
      <c r="O32" s="16">
        <v>0.51012999999999997</v>
      </c>
    </row>
    <row r="33" spans="2:15" x14ac:dyDescent="0.25">
      <c r="B33">
        <v>30.6</v>
      </c>
      <c r="C33">
        <v>7.3133999999999997</v>
      </c>
      <c r="D33">
        <v>557.66</v>
      </c>
      <c r="E33">
        <v>379.14</v>
      </c>
      <c r="F33">
        <v>312.47000000000003</v>
      </c>
      <c r="G33">
        <v>355.48</v>
      </c>
      <c r="H33">
        <v>1.369</v>
      </c>
      <c r="I33">
        <v>1.5105999999999999</v>
      </c>
      <c r="K33" s="16">
        <v>-52</v>
      </c>
      <c r="L33" s="16">
        <v>22.303999999999998</v>
      </c>
      <c r="M33" s="16">
        <v>1204</v>
      </c>
      <c r="N33" s="16">
        <v>95.783000000000001</v>
      </c>
      <c r="O33" s="16">
        <v>0.50973000000000002</v>
      </c>
    </row>
    <row r="34" spans="2:15" x14ac:dyDescent="0.25">
      <c r="B34">
        <v>30.7</v>
      </c>
      <c r="C34">
        <v>7.3301999999999996</v>
      </c>
      <c r="D34">
        <v>548.66999999999996</v>
      </c>
      <c r="E34">
        <v>387.97</v>
      </c>
      <c r="F34">
        <v>314.42</v>
      </c>
      <c r="G34">
        <v>353.02</v>
      </c>
      <c r="H34">
        <v>1.3753</v>
      </c>
      <c r="I34">
        <v>1.5023</v>
      </c>
      <c r="K34" s="16">
        <v>-51.8</v>
      </c>
      <c r="L34" s="16">
        <v>23.282</v>
      </c>
      <c r="M34" s="16">
        <v>1205</v>
      </c>
      <c r="N34" s="16">
        <v>96.507999999999996</v>
      </c>
      <c r="O34" s="16">
        <v>0.50934000000000001</v>
      </c>
    </row>
    <row r="35" spans="2:15" x14ac:dyDescent="0.25">
      <c r="B35">
        <v>30.8</v>
      </c>
      <c r="C35">
        <v>7.3471000000000002</v>
      </c>
      <c r="D35">
        <v>537.42999999999995</v>
      </c>
      <c r="E35">
        <v>399.2</v>
      </c>
      <c r="F35">
        <v>316.83999999999997</v>
      </c>
      <c r="G35">
        <v>349.91</v>
      </c>
      <c r="H35">
        <v>1.3831</v>
      </c>
      <c r="I35">
        <v>1.492</v>
      </c>
      <c r="K35" s="16">
        <v>-51.6</v>
      </c>
      <c r="L35" s="16">
        <v>24.260999999999999</v>
      </c>
      <c r="M35" s="16">
        <v>1206</v>
      </c>
      <c r="N35" s="16">
        <v>97.234999999999999</v>
      </c>
      <c r="O35" s="16">
        <v>0.50895000000000001</v>
      </c>
    </row>
    <row r="36" spans="2:15" x14ac:dyDescent="0.25">
      <c r="B36">
        <v>30.9</v>
      </c>
      <c r="C36">
        <v>7.3639999999999999</v>
      </c>
      <c r="D36">
        <v>521.17999999999995</v>
      </c>
      <c r="E36">
        <v>415.79</v>
      </c>
      <c r="F36">
        <v>320.32</v>
      </c>
      <c r="G36">
        <v>345.41</v>
      </c>
      <c r="H36">
        <v>1.3945000000000001</v>
      </c>
      <c r="I36">
        <v>1.4770000000000001</v>
      </c>
      <c r="K36" s="16">
        <v>-51.4</v>
      </c>
      <c r="L36" s="16">
        <v>25.242999999999999</v>
      </c>
      <c r="M36" s="16">
        <v>1207</v>
      </c>
      <c r="N36" s="16">
        <v>97.965000000000003</v>
      </c>
      <c r="O36" s="16">
        <v>0.50858000000000003</v>
      </c>
    </row>
    <row r="37" spans="2:15" x14ac:dyDescent="0.25">
      <c r="B37">
        <v>30.91</v>
      </c>
      <c r="C37">
        <v>7.3657000000000004</v>
      </c>
      <c r="D37">
        <v>518.94000000000005</v>
      </c>
      <c r="E37">
        <v>418.11</v>
      </c>
      <c r="F37">
        <v>320.8</v>
      </c>
      <c r="G37">
        <v>344.79</v>
      </c>
      <c r="H37">
        <v>1.3960999999999999</v>
      </c>
      <c r="I37">
        <v>1.4750000000000001</v>
      </c>
      <c r="K37" s="16">
        <v>-51.2</v>
      </c>
      <c r="L37" s="16">
        <v>26.225999999999999</v>
      </c>
      <c r="M37" s="16">
        <v>1208</v>
      </c>
      <c r="N37" s="16">
        <v>98.697000000000003</v>
      </c>
      <c r="O37" s="16">
        <v>0.50821000000000005</v>
      </c>
    </row>
    <row r="38" spans="2:15" x14ac:dyDescent="0.25">
      <c r="B38">
        <v>30.92</v>
      </c>
      <c r="C38">
        <v>7.3673999999999999</v>
      </c>
      <c r="D38">
        <v>516.48</v>
      </c>
      <c r="E38">
        <v>420.65</v>
      </c>
      <c r="F38">
        <v>321.33</v>
      </c>
      <c r="G38">
        <v>344.11</v>
      </c>
      <c r="H38">
        <v>1.3977999999999999</v>
      </c>
      <c r="I38">
        <v>1.4726999999999999</v>
      </c>
      <c r="K38" s="16">
        <v>-51</v>
      </c>
      <c r="L38" s="16">
        <v>27.21</v>
      </c>
      <c r="M38" s="16">
        <v>1209</v>
      </c>
      <c r="N38" s="16">
        <v>99.430999999999997</v>
      </c>
      <c r="O38" s="16">
        <v>0.50785000000000002</v>
      </c>
    </row>
    <row r="39" spans="2:15" x14ac:dyDescent="0.25">
      <c r="B39">
        <v>30.93</v>
      </c>
      <c r="C39">
        <v>7.3691000000000004</v>
      </c>
      <c r="D39">
        <v>513.74</v>
      </c>
      <c r="E39">
        <v>423.5</v>
      </c>
      <c r="F39">
        <v>321.92</v>
      </c>
      <c r="G39">
        <v>343.35</v>
      </c>
      <c r="H39">
        <v>1.3996999999999999</v>
      </c>
      <c r="I39">
        <v>1.4702</v>
      </c>
      <c r="K39" s="16">
        <v>-50.8</v>
      </c>
      <c r="L39" s="16">
        <v>28.196999999999999</v>
      </c>
      <c r="M39" s="16">
        <v>1210</v>
      </c>
      <c r="N39" s="16">
        <v>100.17</v>
      </c>
      <c r="O39" s="16">
        <v>0.50749</v>
      </c>
    </row>
    <row r="40" spans="2:15" x14ac:dyDescent="0.25">
      <c r="B40">
        <v>30.94</v>
      </c>
      <c r="C40">
        <v>7.3708</v>
      </c>
      <c r="D40">
        <v>510.6</v>
      </c>
      <c r="E40">
        <v>426.76</v>
      </c>
      <c r="F40">
        <v>322.60000000000002</v>
      </c>
      <c r="G40">
        <v>342.49</v>
      </c>
      <c r="H40">
        <v>1.4018999999999999</v>
      </c>
      <c r="I40">
        <v>1.4674</v>
      </c>
      <c r="K40" s="16">
        <v>-50.6</v>
      </c>
      <c r="L40" s="16">
        <v>29.186</v>
      </c>
      <c r="M40" s="16">
        <v>1211</v>
      </c>
      <c r="N40" s="16">
        <v>100.91</v>
      </c>
      <c r="O40" s="16">
        <v>0.50714000000000004</v>
      </c>
    </row>
    <row r="41" spans="2:15" x14ac:dyDescent="0.25">
      <c r="B41">
        <v>30.95</v>
      </c>
      <c r="C41">
        <v>7.3724999999999996</v>
      </c>
      <c r="D41">
        <v>506.86</v>
      </c>
      <c r="E41">
        <v>430.64</v>
      </c>
      <c r="F41">
        <v>323.41000000000003</v>
      </c>
      <c r="G41">
        <v>341.48</v>
      </c>
      <c r="H41">
        <v>1.4046000000000001</v>
      </c>
      <c r="I41">
        <v>1.464</v>
      </c>
      <c r="K41" s="16">
        <v>-50.4</v>
      </c>
      <c r="L41" s="16">
        <v>30.175999999999998</v>
      </c>
      <c r="M41" s="16">
        <v>1211.9000000000001</v>
      </c>
      <c r="N41" s="16">
        <v>101.65</v>
      </c>
      <c r="O41" s="16">
        <v>0.50680000000000003</v>
      </c>
    </row>
    <row r="42" spans="2:15" x14ac:dyDescent="0.25">
      <c r="B42">
        <v>30.96</v>
      </c>
      <c r="C42">
        <v>7.3742000000000001</v>
      </c>
      <c r="D42">
        <v>502.09</v>
      </c>
      <c r="E42">
        <v>435.57</v>
      </c>
      <c r="F42">
        <v>324.44</v>
      </c>
      <c r="G42">
        <v>340.2</v>
      </c>
      <c r="H42">
        <v>1.4079999999999999</v>
      </c>
      <c r="I42">
        <v>1.4598</v>
      </c>
      <c r="K42" s="16">
        <v>-50.2</v>
      </c>
      <c r="L42" s="16">
        <v>31.167999999999999</v>
      </c>
      <c r="M42" s="16">
        <v>1212.9000000000001</v>
      </c>
      <c r="N42" s="16">
        <v>102.39</v>
      </c>
      <c r="O42" s="16">
        <v>0.50646999999999998</v>
      </c>
    </row>
    <row r="43" spans="2:15" x14ac:dyDescent="0.25">
      <c r="B43">
        <v>30.97</v>
      </c>
      <c r="C43">
        <v>7.3758999999999997</v>
      </c>
      <c r="D43">
        <v>494.91</v>
      </c>
      <c r="E43">
        <v>442.89</v>
      </c>
      <c r="F43">
        <v>326.02</v>
      </c>
      <c r="G43">
        <v>338.32</v>
      </c>
      <c r="H43">
        <v>1.4132</v>
      </c>
      <c r="I43">
        <v>1.4536</v>
      </c>
      <c r="K43">
        <v>-50</v>
      </c>
      <c r="L43">
        <v>32.161999999999999</v>
      </c>
      <c r="M43">
        <v>1213.9000000000001</v>
      </c>
      <c r="N43">
        <v>103.14</v>
      </c>
      <c r="O43">
        <v>0.50614000000000003</v>
      </c>
    </row>
    <row r="44" spans="2:15" x14ac:dyDescent="0.25">
      <c r="B44">
        <v>30.971</v>
      </c>
      <c r="C44">
        <v>7.3761000000000001</v>
      </c>
      <c r="D44">
        <v>493.91</v>
      </c>
      <c r="E44">
        <v>443.93</v>
      </c>
      <c r="F44">
        <v>326.24</v>
      </c>
      <c r="G44">
        <v>338.06</v>
      </c>
      <c r="H44">
        <v>1.4138999999999999</v>
      </c>
      <c r="I44">
        <v>1.4527000000000001</v>
      </c>
      <c r="K44">
        <v>-49</v>
      </c>
      <c r="L44">
        <v>37.158999999999999</v>
      </c>
      <c r="M44">
        <v>1218.5</v>
      </c>
      <c r="N44">
        <v>106.9</v>
      </c>
      <c r="O44">
        <v>0.50460000000000005</v>
      </c>
    </row>
    <row r="45" spans="2:15" x14ac:dyDescent="0.25">
      <c r="B45">
        <v>30.972000000000001</v>
      </c>
      <c r="C45">
        <v>7.3761999999999999</v>
      </c>
      <c r="D45">
        <v>492.77</v>
      </c>
      <c r="E45">
        <v>445.04</v>
      </c>
      <c r="F45">
        <v>326.49</v>
      </c>
      <c r="G45">
        <v>337.78</v>
      </c>
      <c r="H45">
        <v>1.4147000000000001</v>
      </c>
      <c r="I45">
        <v>1.4518</v>
      </c>
      <c r="K45">
        <v>-48</v>
      </c>
      <c r="L45">
        <v>42.201000000000001</v>
      </c>
      <c r="M45">
        <v>1223.0999999999999</v>
      </c>
      <c r="N45">
        <v>110.72</v>
      </c>
      <c r="O45">
        <v>0.50319999999999998</v>
      </c>
    </row>
    <row r="46" spans="2:15" x14ac:dyDescent="0.25">
      <c r="B46">
        <v>30.972999999999999</v>
      </c>
      <c r="C46">
        <v>7.3764000000000003</v>
      </c>
      <c r="D46">
        <v>491.5</v>
      </c>
      <c r="E46">
        <v>446.29</v>
      </c>
      <c r="F46">
        <v>326.77</v>
      </c>
      <c r="G46">
        <v>337.46</v>
      </c>
      <c r="H46">
        <v>1.4156</v>
      </c>
      <c r="I46">
        <v>1.4508000000000001</v>
      </c>
      <c r="K46">
        <v>-47</v>
      </c>
      <c r="L46">
        <v>47.287999999999997</v>
      </c>
      <c r="M46">
        <v>1227.5</v>
      </c>
      <c r="N46">
        <v>114.59</v>
      </c>
      <c r="O46">
        <v>0.50194000000000005</v>
      </c>
    </row>
    <row r="47" spans="2:15" x14ac:dyDescent="0.25">
      <c r="B47">
        <v>30.974</v>
      </c>
      <c r="C47">
        <v>7.3765999999999998</v>
      </c>
      <c r="D47">
        <v>490.05</v>
      </c>
      <c r="E47">
        <v>447.73</v>
      </c>
      <c r="F47">
        <v>327.10000000000002</v>
      </c>
      <c r="G47">
        <v>337.1</v>
      </c>
      <c r="H47">
        <v>1.4167000000000001</v>
      </c>
      <c r="I47">
        <v>1.4496</v>
      </c>
      <c r="K47">
        <v>-46</v>
      </c>
      <c r="L47">
        <v>52.420999999999999</v>
      </c>
      <c r="M47">
        <v>1231.8</v>
      </c>
      <c r="N47">
        <v>118.5</v>
      </c>
      <c r="O47">
        <v>0.50080000000000002</v>
      </c>
    </row>
    <row r="48" spans="2:15" x14ac:dyDescent="0.25">
      <c r="B48">
        <v>30.975000000000001</v>
      </c>
      <c r="C48">
        <v>7.3768000000000002</v>
      </c>
      <c r="D48">
        <v>488.31</v>
      </c>
      <c r="E48">
        <v>449.42</v>
      </c>
      <c r="F48">
        <v>327.48</v>
      </c>
      <c r="G48">
        <v>336.67</v>
      </c>
      <c r="H48">
        <v>1.4179999999999999</v>
      </c>
      <c r="I48">
        <v>1.4481999999999999</v>
      </c>
      <c r="K48">
        <v>-45</v>
      </c>
      <c r="L48">
        <v>57.598999999999997</v>
      </c>
      <c r="M48">
        <v>1236</v>
      </c>
      <c r="N48">
        <v>122.46</v>
      </c>
      <c r="O48">
        <v>0.49976999999999999</v>
      </c>
    </row>
    <row r="49" spans="2:15" x14ac:dyDescent="0.25">
      <c r="B49">
        <v>30.975999999999999</v>
      </c>
      <c r="C49">
        <v>7.3769</v>
      </c>
      <c r="D49">
        <v>486.12</v>
      </c>
      <c r="E49">
        <v>451.53</v>
      </c>
      <c r="F49">
        <v>327.97</v>
      </c>
      <c r="G49">
        <v>336.15</v>
      </c>
      <c r="H49">
        <v>1.4196</v>
      </c>
      <c r="I49">
        <v>1.4464999999999999</v>
      </c>
      <c r="K49">
        <v>-44</v>
      </c>
      <c r="L49">
        <v>62.823</v>
      </c>
      <c r="M49">
        <v>1240</v>
      </c>
      <c r="N49">
        <v>126.47</v>
      </c>
      <c r="O49">
        <v>0.49884000000000001</v>
      </c>
    </row>
    <row r="50" spans="2:15" x14ac:dyDescent="0.25">
      <c r="B50">
        <v>30.977</v>
      </c>
      <c r="C50">
        <v>7.3771000000000004</v>
      </c>
      <c r="D50">
        <v>483.09</v>
      </c>
      <c r="E50">
        <v>454.55</v>
      </c>
      <c r="F50">
        <v>328.66</v>
      </c>
      <c r="G50">
        <v>335.4</v>
      </c>
      <c r="H50">
        <v>1.4218</v>
      </c>
      <c r="I50">
        <v>1.444</v>
      </c>
      <c r="K50">
        <v>-43</v>
      </c>
      <c r="L50">
        <v>68.091999999999999</v>
      </c>
      <c r="M50">
        <v>1244</v>
      </c>
      <c r="N50">
        <v>130.52000000000001</v>
      </c>
      <c r="O50">
        <v>0.49801000000000001</v>
      </c>
    </row>
    <row r="51" spans="2:15" x14ac:dyDescent="0.25">
      <c r="B51">
        <v>30.978000000000002</v>
      </c>
      <c r="C51">
        <v>7.3773</v>
      </c>
      <c r="D51">
        <v>476.26</v>
      </c>
      <c r="E51">
        <v>460.58</v>
      </c>
      <c r="F51">
        <v>330.22</v>
      </c>
      <c r="G51">
        <v>333.93</v>
      </c>
      <c r="H51">
        <v>1.427</v>
      </c>
      <c r="I51">
        <v>1.4392</v>
      </c>
      <c r="K51">
        <v>-42</v>
      </c>
      <c r="L51">
        <v>73.406999999999996</v>
      </c>
      <c r="M51">
        <v>1247.9000000000001</v>
      </c>
      <c r="N51">
        <v>134.62</v>
      </c>
      <c r="O51">
        <v>0.49725999999999998</v>
      </c>
    </row>
    <row r="52" spans="2:15" x14ac:dyDescent="0.25">
      <c r="K52">
        <v>-41</v>
      </c>
      <c r="L52">
        <v>78.766999999999996</v>
      </c>
      <c r="M52">
        <v>1251.7</v>
      </c>
      <c r="N52">
        <v>138.75</v>
      </c>
      <c r="O52">
        <v>0.49658999999999998</v>
      </c>
    </row>
    <row r="53" spans="2:15" x14ac:dyDescent="0.25">
      <c r="K53">
        <v>-40</v>
      </c>
      <c r="L53">
        <v>84.171999999999997</v>
      </c>
      <c r="M53">
        <v>1255.5</v>
      </c>
      <c r="N53">
        <v>142.91999999999999</v>
      </c>
      <c r="O53">
        <v>0.496</v>
      </c>
    </row>
    <row r="54" spans="2:15" x14ac:dyDescent="0.25">
      <c r="K54">
        <v>-39</v>
      </c>
      <c r="L54">
        <v>89.622</v>
      </c>
      <c r="M54">
        <v>1259.0999999999999</v>
      </c>
      <c r="N54">
        <v>147.13999999999999</v>
      </c>
      <c r="O54">
        <v>0.49547999999999998</v>
      </c>
    </row>
    <row r="55" spans="2:15" x14ac:dyDescent="0.25">
      <c r="K55">
        <v>-38</v>
      </c>
      <c r="L55">
        <v>95.117999999999995</v>
      </c>
      <c r="M55">
        <v>1262.7</v>
      </c>
      <c r="N55">
        <v>151.38999999999999</v>
      </c>
      <c r="O55">
        <v>0.49502000000000002</v>
      </c>
    </row>
    <row r="56" spans="2:15" x14ac:dyDescent="0.25">
      <c r="K56">
        <v>-37</v>
      </c>
      <c r="L56">
        <v>100.66</v>
      </c>
      <c r="M56">
        <v>1266.2</v>
      </c>
      <c r="N56">
        <v>155.66999999999999</v>
      </c>
      <c r="O56">
        <v>0.49460999999999999</v>
      </c>
    </row>
    <row r="57" spans="2:15" x14ac:dyDescent="0.25">
      <c r="K57">
        <v>-36</v>
      </c>
      <c r="L57">
        <v>106.25</v>
      </c>
      <c r="M57">
        <v>1269.7</v>
      </c>
      <c r="N57">
        <v>160</v>
      </c>
      <c r="O57">
        <v>0.49426999999999999</v>
      </c>
    </row>
    <row r="58" spans="2:15" x14ac:dyDescent="0.25">
      <c r="K58">
        <v>-35</v>
      </c>
      <c r="L58">
        <v>111.88</v>
      </c>
      <c r="M58">
        <v>1273.0999999999999</v>
      </c>
      <c r="N58">
        <v>164.36</v>
      </c>
      <c r="O58">
        <v>0.49397999999999997</v>
      </c>
    </row>
    <row r="59" spans="2:15" x14ac:dyDescent="0.25">
      <c r="K59">
        <v>-34</v>
      </c>
      <c r="L59">
        <v>117.56</v>
      </c>
      <c r="M59">
        <v>1276.5</v>
      </c>
      <c r="N59">
        <v>168.75</v>
      </c>
      <c r="O59">
        <v>0.49373</v>
      </c>
    </row>
    <row r="60" spans="2:15" x14ac:dyDescent="0.25">
      <c r="K60">
        <v>-33</v>
      </c>
      <c r="L60">
        <v>123.28</v>
      </c>
      <c r="M60">
        <v>1279.8</v>
      </c>
      <c r="N60">
        <v>173.18</v>
      </c>
      <c r="O60">
        <v>0.49353000000000002</v>
      </c>
    </row>
    <row r="61" spans="2:15" x14ac:dyDescent="0.25">
      <c r="K61">
        <v>-32</v>
      </c>
      <c r="L61">
        <v>129.05000000000001</v>
      </c>
      <c r="M61">
        <v>1283.0999999999999</v>
      </c>
      <c r="N61">
        <v>177.65</v>
      </c>
      <c r="O61">
        <v>0.49337999999999999</v>
      </c>
    </row>
    <row r="62" spans="2:15" x14ac:dyDescent="0.25">
      <c r="K62">
        <v>-31</v>
      </c>
      <c r="L62">
        <v>134.86000000000001</v>
      </c>
      <c r="M62">
        <v>1286.3</v>
      </c>
      <c r="N62">
        <v>182.15</v>
      </c>
      <c r="O62">
        <v>0.49325999999999998</v>
      </c>
    </row>
    <row r="63" spans="2:15" x14ac:dyDescent="0.25">
      <c r="K63">
        <v>-30</v>
      </c>
      <c r="L63">
        <v>140.72</v>
      </c>
      <c r="M63">
        <v>1289.5</v>
      </c>
      <c r="N63">
        <v>186.68</v>
      </c>
      <c r="O63">
        <v>0.49319000000000002</v>
      </c>
    </row>
    <row r="64" spans="2:15" x14ac:dyDescent="0.25">
      <c r="K64">
        <v>-29</v>
      </c>
      <c r="L64">
        <v>146.63</v>
      </c>
      <c r="M64">
        <v>1292.5999999999999</v>
      </c>
      <c r="N64">
        <v>191.24</v>
      </c>
      <c r="O64">
        <v>0.49314999999999998</v>
      </c>
    </row>
    <row r="65" spans="11:15" x14ac:dyDescent="0.25">
      <c r="K65">
        <v>-28</v>
      </c>
      <c r="L65">
        <v>152.58000000000001</v>
      </c>
      <c r="M65">
        <v>1295.7</v>
      </c>
      <c r="N65">
        <v>195.84</v>
      </c>
      <c r="O65">
        <v>0.49314000000000002</v>
      </c>
    </row>
    <row r="66" spans="11:15" x14ac:dyDescent="0.25">
      <c r="K66">
        <v>-27</v>
      </c>
      <c r="L66">
        <v>158.57</v>
      </c>
      <c r="M66">
        <v>1298.7</v>
      </c>
      <c r="N66">
        <v>200.47</v>
      </c>
      <c r="O66">
        <v>0.49317</v>
      </c>
    </row>
    <row r="67" spans="11:15" x14ac:dyDescent="0.25">
      <c r="K67">
        <v>-26</v>
      </c>
      <c r="L67">
        <v>164.61</v>
      </c>
      <c r="M67">
        <v>1301.8</v>
      </c>
      <c r="N67">
        <v>205.13</v>
      </c>
      <c r="O67">
        <v>0.49323</v>
      </c>
    </row>
    <row r="68" spans="11:15" x14ac:dyDescent="0.25">
      <c r="K68">
        <v>-25</v>
      </c>
      <c r="L68">
        <v>170.7</v>
      </c>
      <c r="M68">
        <v>1304.8</v>
      </c>
      <c r="N68">
        <v>209.82</v>
      </c>
      <c r="O68">
        <v>0.49331999999999998</v>
      </c>
    </row>
    <row r="69" spans="11:15" x14ac:dyDescent="0.25">
      <c r="K69">
        <v>-24</v>
      </c>
      <c r="L69">
        <v>176.83</v>
      </c>
      <c r="M69">
        <v>1307.7</v>
      </c>
      <c r="N69">
        <v>214.54</v>
      </c>
      <c r="O69">
        <v>0.49342999999999998</v>
      </c>
    </row>
    <row r="70" spans="11:15" x14ac:dyDescent="0.25">
      <c r="K70">
        <v>-23</v>
      </c>
      <c r="L70">
        <v>183.01</v>
      </c>
      <c r="M70">
        <v>1310.5999999999999</v>
      </c>
      <c r="N70">
        <v>219.29</v>
      </c>
      <c r="O70">
        <v>0.49358000000000002</v>
      </c>
    </row>
    <row r="71" spans="11:15" x14ac:dyDescent="0.25">
      <c r="K71">
        <v>-22</v>
      </c>
      <c r="L71">
        <v>189.23</v>
      </c>
      <c r="M71">
        <v>1313.5</v>
      </c>
      <c r="N71">
        <v>224.08</v>
      </c>
      <c r="O71">
        <v>0.49375000000000002</v>
      </c>
    </row>
    <row r="72" spans="11:15" x14ac:dyDescent="0.25">
      <c r="K72">
        <v>-21</v>
      </c>
      <c r="L72">
        <v>195.5</v>
      </c>
      <c r="M72">
        <v>1316.4</v>
      </c>
      <c r="N72">
        <v>228.9</v>
      </c>
      <c r="O72">
        <v>0.49393999999999999</v>
      </c>
    </row>
    <row r="73" spans="11:15" x14ac:dyDescent="0.25">
      <c r="K73">
        <v>-20</v>
      </c>
      <c r="L73">
        <v>201.81</v>
      </c>
      <c r="M73">
        <v>1319.3</v>
      </c>
      <c r="N73">
        <v>233.74</v>
      </c>
      <c r="O73">
        <v>0.49415999999999999</v>
      </c>
    </row>
    <row r="74" spans="11:15" x14ac:dyDescent="0.25">
      <c r="K74">
        <v>-19</v>
      </c>
      <c r="L74">
        <v>208.17</v>
      </c>
      <c r="M74">
        <v>1322.1</v>
      </c>
      <c r="N74">
        <v>238.62</v>
      </c>
      <c r="O74">
        <v>0.49440000000000001</v>
      </c>
    </row>
    <row r="75" spans="11:15" x14ac:dyDescent="0.25">
      <c r="K75">
        <v>-18</v>
      </c>
      <c r="L75">
        <v>214.57</v>
      </c>
      <c r="M75">
        <v>1324.9</v>
      </c>
      <c r="N75">
        <v>243.52</v>
      </c>
      <c r="O75">
        <v>0.49467</v>
      </c>
    </row>
    <row r="76" spans="11:15" x14ac:dyDescent="0.25">
      <c r="K76">
        <v>-17</v>
      </c>
      <c r="L76">
        <v>221.02</v>
      </c>
      <c r="M76">
        <v>1327.7</v>
      </c>
      <c r="N76">
        <v>248.46</v>
      </c>
      <c r="O76">
        <v>0.49495</v>
      </c>
    </row>
    <row r="77" spans="11:15" x14ac:dyDescent="0.25">
      <c r="K77">
        <v>-16</v>
      </c>
      <c r="L77">
        <v>227.51</v>
      </c>
      <c r="M77">
        <v>1330.4</v>
      </c>
      <c r="N77">
        <v>253.42</v>
      </c>
      <c r="O77">
        <v>0.49525999999999998</v>
      </c>
    </row>
    <row r="78" spans="11:15" x14ac:dyDescent="0.25">
      <c r="K78">
        <v>-15</v>
      </c>
      <c r="L78">
        <v>234.05</v>
      </c>
      <c r="M78">
        <v>1333.1</v>
      </c>
      <c r="N78">
        <v>258.42</v>
      </c>
      <c r="O78">
        <v>0.49558000000000002</v>
      </c>
    </row>
    <row r="79" spans="11:15" x14ac:dyDescent="0.25">
      <c r="K79">
        <v>-14</v>
      </c>
      <c r="L79">
        <v>240.64</v>
      </c>
      <c r="M79">
        <v>1335.8</v>
      </c>
      <c r="N79">
        <v>263.44</v>
      </c>
      <c r="O79">
        <v>0.49592999999999998</v>
      </c>
    </row>
    <row r="80" spans="11:15" x14ac:dyDescent="0.25">
      <c r="K80">
        <v>-13</v>
      </c>
      <c r="L80">
        <v>247.27</v>
      </c>
      <c r="M80">
        <v>1338.5</v>
      </c>
      <c r="N80">
        <v>268.49</v>
      </c>
      <c r="O80">
        <v>0.49629000000000001</v>
      </c>
    </row>
    <row r="81" spans="11:15" x14ac:dyDescent="0.25">
      <c r="K81">
        <v>-12</v>
      </c>
      <c r="L81">
        <v>253.95</v>
      </c>
      <c r="M81">
        <v>1341.2</v>
      </c>
      <c r="N81">
        <v>273.57</v>
      </c>
      <c r="O81">
        <v>0.49667</v>
      </c>
    </row>
    <row r="82" spans="11:15" x14ac:dyDescent="0.25">
      <c r="K82">
        <v>-11</v>
      </c>
      <c r="L82">
        <v>260.67</v>
      </c>
      <c r="M82">
        <v>1343.9</v>
      </c>
      <c r="N82">
        <v>278.68</v>
      </c>
      <c r="O82">
        <v>0.49706</v>
      </c>
    </row>
    <row r="83" spans="11:15" x14ac:dyDescent="0.25">
      <c r="K83">
        <v>-10</v>
      </c>
      <c r="L83">
        <v>267.43</v>
      </c>
      <c r="M83">
        <v>1346.5</v>
      </c>
      <c r="N83">
        <v>283.82</v>
      </c>
      <c r="O83">
        <v>0.49747999999999998</v>
      </c>
    </row>
    <row r="84" spans="11:15" x14ac:dyDescent="0.25">
      <c r="K84">
        <v>-9</v>
      </c>
      <c r="L84">
        <v>274.25</v>
      </c>
      <c r="M84">
        <v>1349.1</v>
      </c>
      <c r="N84">
        <v>288.99</v>
      </c>
      <c r="O84">
        <v>0.49790000000000001</v>
      </c>
    </row>
    <row r="85" spans="11:15" x14ac:dyDescent="0.25">
      <c r="K85">
        <v>-8</v>
      </c>
      <c r="L85">
        <v>281.10000000000002</v>
      </c>
      <c r="M85">
        <v>1351.7</v>
      </c>
      <c r="N85">
        <v>294.19</v>
      </c>
      <c r="O85">
        <v>0.49835000000000002</v>
      </c>
    </row>
    <row r="86" spans="11:15" x14ac:dyDescent="0.25">
      <c r="K86">
        <v>-7</v>
      </c>
      <c r="L86">
        <v>288.01</v>
      </c>
      <c r="M86">
        <v>1354.3</v>
      </c>
      <c r="N86">
        <v>299.41000000000003</v>
      </c>
      <c r="O86">
        <v>0.49880999999999998</v>
      </c>
    </row>
    <row r="87" spans="11:15" x14ac:dyDescent="0.25">
      <c r="K87">
        <v>-6</v>
      </c>
      <c r="L87">
        <v>294.95999999999998</v>
      </c>
      <c r="M87">
        <v>1356.9</v>
      </c>
      <c r="N87">
        <v>304.66000000000003</v>
      </c>
      <c r="O87">
        <v>0.49928</v>
      </c>
    </row>
    <row r="88" spans="11:15" x14ac:dyDescent="0.25">
      <c r="K88">
        <v>-5</v>
      </c>
      <c r="L88">
        <v>301.95</v>
      </c>
      <c r="M88">
        <v>1359.4</v>
      </c>
      <c r="N88">
        <v>309.94</v>
      </c>
      <c r="O88">
        <v>0.49976999999999999</v>
      </c>
    </row>
    <row r="89" spans="11:15" x14ac:dyDescent="0.25">
      <c r="K89">
        <v>-4</v>
      </c>
      <c r="L89">
        <v>308.99</v>
      </c>
      <c r="M89">
        <v>1362</v>
      </c>
      <c r="N89">
        <v>315.25</v>
      </c>
      <c r="O89">
        <v>0.50026999999999999</v>
      </c>
    </row>
    <row r="90" spans="11:15" x14ac:dyDescent="0.25">
      <c r="K90">
        <v>-3</v>
      </c>
      <c r="L90">
        <v>316.07</v>
      </c>
      <c r="M90">
        <v>1364.5</v>
      </c>
      <c r="N90">
        <v>320.58999999999997</v>
      </c>
      <c r="O90">
        <v>0.50078999999999996</v>
      </c>
    </row>
    <row r="91" spans="11:15" x14ac:dyDescent="0.25">
      <c r="K91">
        <v>-2</v>
      </c>
      <c r="L91">
        <v>323.2</v>
      </c>
      <c r="M91">
        <v>1367</v>
      </c>
      <c r="N91">
        <v>325.95</v>
      </c>
      <c r="O91">
        <v>0.50131999999999999</v>
      </c>
    </row>
    <row r="92" spans="11:15" x14ac:dyDescent="0.25">
      <c r="K92">
        <v>-1</v>
      </c>
      <c r="L92">
        <v>330.38</v>
      </c>
      <c r="M92">
        <v>1369.5</v>
      </c>
      <c r="N92">
        <v>331.34</v>
      </c>
      <c r="O92">
        <v>0.50185999999999997</v>
      </c>
    </row>
    <row r="93" spans="11:15" x14ac:dyDescent="0.25">
      <c r="K93">
        <v>0</v>
      </c>
      <c r="L93">
        <v>337.6</v>
      </c>
      <c r="M93">
        <v>1372</v>
      </c>
      <c r="N93">
        <v>336.76</v>
      </c>
      <c r="O93">
        <v>0.50241000000000002</v>
      </c>
    </row>
    <row r="94" spans="11:15" x14ac:dyDescent="0.25">
      <c r="K94">
        <v>1</v>
      </c>
      <c r="L94">
        <v>344.87</v>
      </c>
      <c r="M94">
        <v>1374.5</v>
      </c>
      <c r="N94">
        <v>342.21</v>
      </c>
      <c r="O94">
        <v>0.50297999999999998</v>
      </c>
    </row>
    <row r="95" spans="11:15" x14ac:dyDescent="0.25">
      <c r="K95">
        <v>2</v>
      </c>
      <c r="L95">
        <v>352.18</v>
      </c>
      <c r="M95">
        <v>1376.9</v>
      </c>
      <c r="N95">
        <v>347.68</v>
      </c>
      <c r="O95">
        <v>0.50356000000000001</v>
      </c>
    </row>
    <row r="96" spans="11:15" x14ac:dyDescent="0.25">
      <c r="K96">
        <v>3</v>
      </c>
      <c r="L96">
        <v>359.53</v>
      </c>
      <c r="M96">
        <v>1379.4</v>
      </c>
      <c r="N96">
        <v>353.18</v>
      </c>
      <c r="O96">
        <v>0.50414999999999999</v>
      </c>
    </row>
    <row r="97" spans="11:15" x14ac:dyDescent="0.25">
      <c r="K97">
        <v>4</v>
      </c>
      <c r="L97">
        <v>366.94</v>
      </c>
      <c r="M97">
        <v>1381.8</v>
      </c>
      <c r="N97">
        <v>358.71</v>
      </c>
      <c r="O97">
        <v>0.50475000000000003</v>
      </c>
    </row>
    <row r="98" spans="11:15" x14ac:dyDescent="0.25">
      <c r="K98">
        <v>5</v>
      </c>
      <c r="L98">
        <v>374.38</v>
      </c>
      <c r="M98">
        <v>1384.3</v>
      </c>
      <c r="N98">
        <v>364.27</v>
      </c>
      <c r="O98">
        <v>0.50536999999999999</v>
      </c>
    </row>
    <row r="99" spans="11:15" x14ac:dyDescent="0.25">
      <c r="K99">
        <v>6</v>
      </c>
      <c r="L99">
        <v>381.88</v>
      </c>
      <c r="M99">
        <v>1386.7</v>
      </c>
      <c r="N99">
        <v>369.85</v>
      </c>
      <c r="O99">
        <v>0.50599000000000005</v>
      </c>
    </row>
    <row r="100" spans="11:15" x14ac:dyDescent="0.25">
      <c r="K100">
        <v>7</v>
      </c>
      <c r="L100">
        <v>389.42</v>
      </c>
      <c r="M100">
        <v>1389.1</v>
      </c>
      <c r="N100">
        <v>375.46</v>
      </c>
      <c r="O100">
        <v>0.50663000000000002</v>
      </c>
    </row>
    <row r="101" spans="11:15" x14ac:dyDescent="0.25">
      <c r="K101">
        <v>8</v>
      </c>
      <c r="L101">
        <v>397</v>
      </c>
      <c r="M101">
        <v>1391.5</v>
      </c>
      <c r="N101">
        <v>381.09</v>
      </c>
      <c r="O101">
        <v>0.50727</v>
      </c>
    </row>
    <row r="102" spans="11:15" x14ac:dyDescent="0.25">
      <c r="K102">
        <v>9</v>
      </c>
      <c r="L102">
        <v>404.63</v>
      </c>
      <c r="M102">
        <v>1393.9</v>
      </c>
      <c r="N102">
        <v>386.76</v>
      </c>
      <c r="O102">
        <v>0.50792999999999999</v>
      </c>
    </row>
    <row r="103" spans="11:15" x14ac:dyDescent="0.25">
      <c r="K103">
        <v>10</v>
      </c>
      <c r="L103">
        <v>412.3</v>
      </c>
      <c r="M103">
        <v>1396.3</v>
      </c>
      <c r="N103">
        <v>392.45</v>
      </c>
      <c r="O103">
        <v>0.50858999999999999</v>
      </c>
    </row>
    <row r="104" spans="11:15" x14ac:dyDescent="0.25">
      <c r="K104">
        <v>11</v>
      </c>
      <c r="L104">
        <v>420.02</v>
      </c>
      <c r="M104">
        <v>1398.7</v>
      </c>
      <c r="N104">
        <v>398.16</v>
      </c>
      <c r="O104">
        <v>0.50927</v>
      </c>
    </row>
    <row r="105" spans="11:15" x14ac:dyDescent="0.25">
      <c r="K105">
        <v>12</v>
      </c>
      <c r="L105">
        <v>427.79</v>
      </c>
      <c r="M105">
        <v>1401</v>
      </c>
      <c r="N105">
        <v>403.9</v>
      </c>
      <c r="O105">
        <v>0.50995000000000001</v>
      </c>
    </row>
    <row r="106" spans="11:15" x14ac:dyDescent="0.25">
      <c r="K106">
        <v>13</v>
      </c>
      <c r="L106">
        <v>435.6</v>
      </c>
      <c r="M106">
        <v>1403.4</v>
      </c>
      <c r="N106">
        <v>409.67</v>
      </c>
      <c r="O106">
        <v>0.51065000000000005</v>
      </c>
    </row>
    <row r="107" spans="11:15" x14ac:dyDescent="0.25">
      <c r="K107">
        <v>14</v>
      </c>
      <c r="L107">
        <v>443.46</v>
      </c>
      <c r="M107">
        <v>1405.7</v>
      </c>
      <c r="N107">
        <v>415.47</v>
      </c>
      <c r="O107">
        <v>0.51136000000000004</v>
      </c>
    </row>
    <row r="108" spans="11:15" x14ac:dyDescent="0.25">
      <c r="K108">
        <v>15</v>
      </c>
      <c r="L108">
        <v>451.36</v>
      </c>
      <c r="M108">
        <v>1408.1</v>
      </c>
      <c r="N108">
        <v>421.29</v>
      </c>
      <c r="O108">
        <v>0.51207000000000003</v>
      </c>
    </row>
    <row r="109" spans="11:15" x14ac:dyDescent="0.25">
      <c r="K109">
        <v>16</v>
      </c>
      <c r="L109">
        <v>459.3</v>
      </c>
      <c r="M109">
        <v>1410.4</v>
      </c>
      <c r="N109">
        <v>427.14</v>
      </c>
      <c r="O109">
        <v>0.51278999999999997</v>
      </c>
    </row>
    <row r="110" spans="11:15" x14ac:dyDescent="0.25">
      <c r="K110">
        <v>17</v>
      </c>
      <c r="L110">
        <v>467.3</v>
      </c>
      <c r="M110">
        <v>1412.7</v>
      </c>
      <c r="N110">
        <v>433.01</v>
      </c>
      <c r="O110">
        <v>0.51353000000000004</v>
      </c>
    </row>
    <row r="111" spans="11:15" x14ac:dyDescent="0.25">
      <c r="K111">
        <v>18</v>
      </c>
      <c r="L111">
        <v>475.34</v>
      </c>
      <c r="M111">
        <v>1415</v>
      </c>
      <c r="N111">
        <v>438.91</v>
      </c>
      <c r="O111">
        <v>0.51427</v>
      </c>
    </row>
    <row r="112" spans="11:15" x14ac:dyDescent="0.25">
      <c r="K112">
        <v>19</v>
      </c>
      <c r="L112">
        <v>483.42</v>
      </c>
      <c r="M112">
        <v>1417.3</v>
      </c>
      <c r="N112">
        <v>444.84</v>
      </c>
      <c r="O112">
        <v>0.51502000000000003</v>
      </c>
    </row>
    <row r="113" spans="11:15" x14ac:dyDescent="0.25">
      <c r="K113">
        <v>20</v>
      </c>
      <c r="L113">
        <v>491.55</v>
      </c>
      <c r="M113">
        <v>1419.6</v>
      </c>
      <c r="N113">
        <v>450.79</v>
      </c>
      <c r="O113">
        <v>0.51576999999999995</v>
      </c>
    </row>
    <row r="114" spans="11:15" x14ac:dyDescent="0.25">
      <c r="K114">
        <v>21</v>
      </c>
      <c r="L114">
        <v>499.72</v>
      </c>
      <c r="M114">
        <v>1421.9</v>
      </c>
      <c r="N114">
        <v>456.77</v>
      </c>
      <c r="O114">
        <v>0.51654</v>
      </c>
    </row>
    <row r="115" spans="11:15" x14ac:dyDescent="0.25">
      <c r="K115">
        <v>22</v>
      </c>
      <c r="L115">
        <v>507.94</v>
      </c>
      <c r="M115">
        <v>1424.2</v>
      </c>
      <c r="N115">
        <v>462.77</v>
      </c>
      <c r="O115">
        <v>0.51732</v>
      </c>
    </row>
    <row r="116" spans="11:15" x14ac:dyDescent="0.25">
      <c r="K116">
        <v>23</v>
      </c>
      <c r="L116">
        <v>516.20000000000005</v>
      </c>
      <c r="M116">
        <v>1426.5</v>
      </c>
      <c r="N116">
        <v>468.8</v>
      </c>
      <c r="O116">
        <v>0.5181</v>
      </c>
    </row>
    <row r="117" spans="11:15" x14ac:dyDescent="0.25">
      <c r="K117">
        <v>24</v>
      </c>
      <c r="L117">
        <v>524.51</v>
      </c>
      <c r="M117">
        <v>1428.8</v>
      </c>
      <c r="N117">
        <v>474.86</v>
      </c>
      <c r="O117">
        <v>0.51888999999999996</v>
      </c>
    </row>
    <row r="118" spans="11:15" x14ac:dyDescent="0.25">
      <c r="K118">
        <v>25</v>
      </c>
      <c r="L118">
        <v>532.87</v>
      </c>
      <c r="M118">
        <v>1431.1</v>
      </c>
      <c r="N118">
        <v>480.94</v>
      </c>
      <c r="O118">
        <v>0.51968999999999999</v>
      </c>
    </row>
    <row r="119" spans="11:15" x14ac:dyDescent="0.25">
      <c r="K119">
        <v>26</v>
      </c>
      <c r="L119">
        <v>541.27</v>
      </c>
      <c r="M119">
        <v>1433.3</v>
      </c>
      <c r="N119">
        <v>487.05</v>
      </c>
      <c r="O119">
        <v>0.52049999999999996</v>
      </c>
    </row>
    <row r="120" spans="11:15" x14ac:dyDescent="0.25">
      <c r="K120">
        <v>27</v>
      </c>
      <c r="L120">
        <v>549.72</v>
      </c>
      <c r="M120">
        <v>1435.6</v>
      </c>
      <c r="N120">
        <v>493.18</v>
      </c>
      <c r="O120">
        <v>0.52131000000000005</v>
      </c>
    </row>
    <row r="121" spans="11:15" x14ac:dyDescent="0.25">
      <c r="K121">
        <v>28</v>
      </c>
      <c r="L121">
        <v>558.21</v>
      </c>
      <c r="M121">
        <v>1437.8</v>
      </c>
      <c r="N121">
        <v>499.34</v>
      </c>
      <c r="O121">
        <v>0.52212999999999998</v>
      </c>
    </row>
    <row r="122" spans="11:15" x14ac:dyDescent="0.25">
      <c r="K122">
        <v>29</v>
      </c>
      <c r="L122">
        <v>566.75</v>
      </c>
      <c r="M122">
        <v>1440.1</v>
      </c>
      <c r="N122">
        <v>505.52</v>
      </c>
      <c r="O122">
        <v>0.52295999999999998</v>
      </c>
    </row>
    <row r="123" spans="11:15" x14ac:dyDescent="0.25">
      <c r="K123">
        <v>30</v>
      </c>
      <c r="L123">
        <v>575.33000000000004</v>
      </c>
      <c r="M123">
        <v>1442.3</v>
      </c>
      <c r="N123">
        <v>511.73</v>
      </c>
      <c r="O123">
        <v>0.52380000000000004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F70-775B-48BF-95C3-CBEBF04BF80D}">
  <sheetPr codeName="Sheet11"/>
  <dimension ref="A1"/>
  <sheetViews>
    <sheetView workbookViewId="0">
      <selection activeCell="Z26" sqref="Z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8BD0-4DF4-4F0D-9391-AFE426E1EBC3}">
  <sheetPr codeName="Sheet2"/>
  <dimension ref="A1"/>
  <sheetViews>
    <sheetView workbookViewId="0">
      <selection activeCell="N6" sqref="N6"/>
    </sheetView>
  </sheetViews>
  <sheetFormatPr defaultRowHeight="15" x14ac:dyDescent="0.25"/>
  <sheetData>
    <row r="1" spans="1:1" x14ac:dyDescent="0.25">
      <c r="A1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Statepoint Summary</vt:lpstr>
      <vt:lpstr>Sunshot pump</vt:lpstr>
      <vt:lpstr>Valve 1</vt:lpstr>
      <vt:lpstr>Valve 2</vt:lpstr>
      <vt:lpstr>Test Section</vt:lpstr>
      <vt:lpstr>Recycle Valve</vt:lpstr>
      <vt:lpstr>Cooler</vt:lpstr>
      <vt:lpstr>Pipe loss calc</vt:lpstr>
      <vt:lpstr>CO2 Sat Prop</vt:lpstr>
      <vt:lpstr>Cases</vt:lpstr>
      <vt:lpstr>Sunshot Pump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D. Klaerner</dc:creator>
  <cp:lastModifiedBy>Replogle, Cole J.</cp:lastModifiedBy>
  <dcterms:created xsi:type="dcterms:W3CDTF">2022-08-15T17:48:58Z</dcterms:created>
  <dcterms:modified xsi:type="dcterms:W3CDTF">2022-11-28T20:25:00Z</dcterms:modified>
</cp:coreProperties>
</file>