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R:\04.17 RMD\FY2022\Projects\27490 SETO Echogen Flowserve Multiphase Turbine\11 Test Loop Design\"/>
    </mc:Choice>
  </mc:AlternateContent>
  <xr:revisionPtr revIDLastSave="0" documentId="13_ncr:1_{8AA42C73-D0F9-44B9-A279-0C2ED8F3259E}" xr6:coauthVersionLast="36" xr6:coauthVersionMax="36" xr10:uidLastSave="{00000000-0000-0000-0000-000000000000}"/>
  <bookViews>
    <workbookView xWindow="0" yWindow="0" windowWidth="28800" windowHeight="12135" tabRatio="673" xr2:uid="{00000000-000D-0000-FFFF-FFFF00000000}"/>
  </bookViews>
  <sheets>
    <sheet name="Valve Sizing" sheetId="1" r:id="rId1"/>
    <sheet name="Valve Sizing (2)" sheetId="2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4" i="2" l="1"/>
  <c r="C14" i="1"/>
  <c r="C11" i="2"/>
  <c r="C19" i="2"/>
  <c r="C10" i="2"/>
  <c r="C19" i="1"/>
  <c r="C11" i="1"/>
  <c r="C10" i="1"/>
  <c r="C16" i="2" l="1"/>
  <c r="C17" i="2" s="1"/>
  <c r="C16" i="1"/>
  <c r="C17" i="1" s="1"/>
  <c r="C23" i="2" l="1"/>
  <c r="C20" i="2"/>
  <c r="C21" i="2" s="1"/>
  <c r="C18" i="2"/>
  <c r="C18" i="1"/>
  <c r="C20" i="1"/>
  <c r="C21" i="1" s="1"/>
  <c r="C23" i="1"/>
</calcChain>
</file>

<file path=xl/sharedStrings.xml><?xml version="1.0" encoding="utf-8"?>
<sst xmlns="http://schemas.openxmlformats.org/spreadsheetml/2006/main" count="160" uniqueCount="48">
  <si>
    <t>Fluid</t>
  </si>
  <si>
    <t>Upstream P</t>
  </si>
  <si>
    <t>psia</t>
  </si>
  <si>
    <t>Input</t>
  </si>
  <si>
    <t>Upstream T</t>
  </si>
  <si>
    <t>deg F</t>
  </si>
  <si>
    <t>Upstream rho</t>
  </si>
  <si>
    <t>lbm/ft^3</t>
  </si>
  <si>
    <t>Calc from REFPROP</t>
  </si>
  <si>
    <t>Upstream k</t>
  </si>
  <si>
    <t>-</t>
  </si>
  <si>
    <t>Cv</t>
  </si>
  <si>
    <t>Valve DP</t>
  </si>
  <si>
    <t>psid</t>
  </si>
  <si>
    <t>x</t>
  </si>
  <si>
    <t>Calc</t>
  </si>
  <si>
    <t>Xt</t>
  </si>
  <si>
    <t>Y</t>
  </si>
  <si>
    <t>Mass flow</t>
  </si>
  <si>
    <t>lbm/s</t>
  </si>
  <si>
    <t>Qdot valve</t>
  </si>
  <si>
    <t>acfm</t>
  </si>
  <si>
    <t>rho_std</t>
  </si>
  <si>
    <t>mdot_valve</t>
  </si>
  <si>
    <t>scfm</t>
  </si>
  <si>
    <t>mmscfd</t>
  </si>
  <si>
    <t>desired mass flow</t>
  </si>
  <si>
    <t>mass flow diff</t>
  </si>
  <si>
    <t>Goal seek to zero</t>
  </si>
  <si>
    <t>Valve</t>
  </si>
  <si>
    <t>diameter</t>
  </si>
  <si>
    <t>area</t>
  </si>
  <si>
    <t>velocity</t>
  </si>
  <si>
    <t>in</t>
  </si>
  <si>
    <t>in2</t>
  </si>
  <si>
    <t>ft/sec</t>
  </si>
  <si>
    <t>Input or Vary</t>
  </si>
  <si>
    <t>Input, From valve data sheet</t>
  </si>
  <si>
    <t>VALVE SIZING</t>
  </si>
  <si>
    <t>CV##</t>
  </si>
  <si>
    <t>Must define 2 of the blue variables and let the 3rd be calculated</t>
  </si>
  <si>
    <t>Use DATA &gt; What-If Analysis &gt; Goal Seek</t>
  </si>
  <si>
    <t>Set cell: mass flow difference (yellow), To value: 0, By chaning cell: one of the blue variables</t>
  </si>
  <si>
    <t>CO2</t>
  </si>
  <si>
    <t>CV</t>
  </si>
  <si>
    <t>Mass Flow</t>
  </si>
  <si>
    <t>DP</t>
  </si>
  <si>
    <t>Dependent variable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</si>
</sst>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"/>
    <numFmt numFmtId="166" formatCode="0.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0"/>
      <name val="Verdana"/>
      <family val="2"/>
    </font>
    <font>
      <sz val="11"/>
      <color theme="0" tint="-0.249977111117893"/>
      <name val="Calibri"/>
      <family val="2"/>
      <scheme val="minor"/>
    </font>
    <font>
      <sz val="10"/>
      <color theme="0" tint="-0.249977111117893"/>
      <name val="Verdana"/>
      <family val="2"/>
    </font>
    <font>
      <b/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3" fillId="0" borderId="0"/>
  </cellStyleXfs>
  <cellXfs count="37">
    <xf numFmtId="0" fontId="0" fillId="0" borderId="0" xfId="0"/>
    <xf numFmtId="0" fontId="1" fillId="0" borderId="0" xfId="0" applyFont="1" applyAlignment="1"/>
    <xf numFmtId="0" fontId="0" fillId="0" borderId="2" xfId="0" applyBorder="1" applyAlignment="1">
      <alignment wrapText="1"/>
    </xf>
    <xf numFmtId="0" fontId="0" fillId="0" borderId="0" xfId="0" applyAlignment="1">
      <alignment wrapText="1"/>
    </xf>
    <xf numFmtId="0" fontId="0" fillId="0" borderId="1" xfId="0" applyBorder="1"/>
    <xf numFmtId="0" fontId="3" fillId="2" borderId="1" xfId="1" applyFill="1" applyBorder="1"/>
    <xf numFmtId="0" fontId="3" fillId="0" borderId="1" xfId="1" applyFont="1" applyFill="1" applyBorder="1"/>
    <xf numFmtId="0" fontId="3" fillId="0" borderId="2" xfId="1" applyFont="1" applyFill="1" applyBorder="1"/>
    <xf numFmtId="2" fontId="3" fillId="0" borderId="1" xfId="1" applyNumberFormat="1" applyFill="1" applyBorder="1"/>
    <xf numFmtId="0" fontId="3" fillId="0" borderId="2" xfId="1" quotePrefix="1" applyFont="1" applyFill="1" applyBorder="1"/>
    <xf numFmtId="165" fontId="3" fillId="0" borderId="1" xfId="1" applyNumberFormat="1" applyFont="1" applyFill="1" applyBorder="1"/>
    <xf numFmtId="0" fontId="3" fillId="0" borderId="3" xfId="1" applyFont="1" applyFill="1" applyBorder="1"/>
    <xf numFmtId="0" fontId="2" fillId="0" borderId="1" xfId="0" applyFont="1" applyFill="1" applyBorder="1" applyAlignment="1">
      <alignment horizontal="center" vertical="center" wrapText="1"/>
    </xf>
    <xf numFmtId="0" fontId="4" fillId="0" borderId="0" xfId="0" applyFont="1" applyFill="1" applyBorder="1"/>
    <xf numFmtId="0" fontId="1" fillId="0" borderId="1" xfId="0" applyFont="1" applyBorder="1" applyAlignment="1">
      <alignment vertical="center" wrapText="1"/>
    </xf>
    <xf numFmtId="0" fontId="0" fillId="0" borderId="1" xfId="0" applyFont="1" applyBorder="1"/>
    <xf numFmtId="0" fontId="3" fillId="0" borderId="1" xfId="1" quotePrefix="1" applyFont="1" applyFill="1" applyBorder="1"/>
    <xf numFmtId="0" fontId="0" fillId="0" borderId="1" xfId="0" applyFont="1" applyFill="1" applyBorder="1"/>
    <xf numFmtId="0" fontId="0" fillId="3" borderId="1" xfId="0" applyFill="1" applyBorder="1"/>
    <xf numFmtId="164" fontId="0" fillId="3" borderId="1" xfId="0" applyNumberFormat="1" applyFill="1" applyBorder="1"/>
    <xf numFmtId="0" fontId="4" fillId="0" borderId="0" xfId="0" applyFont="1" applyBorder="1"/>
    <xf numFmtId="0" fontId="5" fillId="0" borderId="0" xfId="1" applyFont="1" applyFill="1" applyBorder="1"/>
    <xf numFmtId="0" fontId="3" fillId="3" borderId="1" xfId="1" applyFont="1" applyFill="1" applyBorder="1"/>
    <xf numFmtId="164" fontId="3" fillId="0" borderId="1" xfId="1" applyNumberFormat="1" applyFont="1" applyFill="1" applyBorder="1"/>
    <xf numFmtId="0" fontId="3" fillId="4" borderId="1" xfId="1" applyFont="1" applyFill="1" applyBorder="1"/>
    <xf numFmtId="0" fontId="3" fillId="4" borderId="2" xfId="1" applyFont="1" applyFill="1" applyBorder="1"/>
    <xf numFmtId="166" fontId="0" fillId="4" borderId="1" xfId="0" applyNumberFormat="1" applyFont="1" applyFill="1" applyBorder="1"/>
    <xf numFmtId="0" fontId="0" fillId="4" borderId="1" xfId="0" applyFill="1" applyBorder="1"/>
    <xf numFmtId="0" fontId="3" fillId="4" borderId="2" xfId="1" quotePrefix="1" applyFont="1" applyFill="1" applyBorder="1"/>
    <xf numFmtId="164" fontId="0" fillId="4" borderId="1" xfId="0" applyNumberFormat="1" applyFont="1" applyFill="1" applyBorder="1"/>
    <xf numFmtId="0" fontId="0" fillId="4" borderId="1" xfId="0" applyFont="1" applyFill="1" applyBorder="1"/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0" fillId="0" borderId="0" xfId="0" applyFont="1" applyFill="1"/>
    <xf numFmtId="0" fontId="6" fillId="0" borderId="0" xfId="0" applyFont="1" applyAlignment="1">
      <alignment horizontal="left"/>
    </xf>
    <xf numFmtId="0" fontId="0" fillId="3" borderId="0" xfId="0" applyFill="1"/>
    <xf numFmtId="0" fontId="0" fillId="3" borderId="0" xfId="0" applyFill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12</xdr:row>
          <xdr:rowOff>114300</xdr:rowOff>
        </xdr:from>
        <xdr:to>
          <xdr:col>8</xdr:col>
          <xdr:colOff>133350</xdr:colOff>
          <xdr:row>16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5762D072-2D61-4657-8AD6-C102A5AD8E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12</xdr:row>
          <xdr:rowOff>114300</xdr:rowOff>
        </xdr:from>
        <xdr:to>
          <xdr:col>8</xdr:col>
          <xdr:colOff>133350</xdr:colOff>
          <xdr:row>16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BFAC627E-0472-4222-A591-2DDBEBB27D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%20(x86)\REFPROP\REFPROP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refprop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36"/>
  <sheetViews>
    <sheetView tabSelected="1" topLeftCell="A4" workbookViewId="0">
      <selection activeCell="C10" sqref="C10"/>
    </sheetView>
  </sheetViews>
  <sheetFormatPr defaultRowHeight="15" x14ac:dyDescent="0.25"/>
  <cols>
    <col min="1" max="1" width="22.28515625" customWidth="1"/>
    <col min="3" max="3" width="11.28515625" customWidth="1"/>
    <col min="4" max="4" width="29.28515625" bestFit="1" customWidth="1"/>
    <col min="12" max="12" width="10.42578125" customWidth="1"/>
    <col min="13" max="13" width="13.140625" customWidth="1"/>
    <col min="17" max="17" width="10.140625" bestFit="1" customWidth="1"/>
  </cols>
  <sheetData>
    <row r="1" spans="1:18" ht="21" x14ac:dyDescent="0.35">
      <c r="A1" s="34" t="s">
        <v>38</v>
      </c>
      <c r="B1" s="34"/>
      <c r="C1" s="34"/>
      <c r="D1" s="34"/>
      <c r="E1" s="1"/>
    </row>
    <row r="2" spans="1:18" x14ac:dyDescent="0.25">
      <c r="A2" s="31" t="s">
        <v>40</v>
      </c>
      <c r="B2" s="32"/>
    </row>
    <row r="3" spans="1:18" x14ac:dyDescent="0.25">
      <c r="A3" s="33" t="s">
        <v>41</v>
      </c>
      <c r="B3" s="32"/>
    </row>
    <row r="4" spans="1:18" x14ac:dyDescent="0.25">
      <c r="A4" s="33" t="s">
        <v>42</v>
      </c>
      <c r="B4" s="32"/>
    </row>
    <row r="6" spans="1:18" s="3" customFormat="1" ht="30" customHeight="1" x14ac:dyDescent="0.25">
      <c r="A6" s="14" t="s">
        <v>29</v>
      </c>
      <c r="B6" s="2"/>
      <c r="C6" s="12" t="s">
        <v>39</v>
      </c>
    </row>
    <row r="7" spans="1:18" x14ac:dyDescent="0.25">
      <c r="A7" s="5" t="s">
        <v>0</v>
      </c>
      <c r="B7" s="5"/>
      <c r="C7" s="5" t="s">
        <v>43</v>
      </c>
      <c r="D7" s="5" t="s">
        <v>3</v>
      </c>
      <c r="K7" t="s">
        <v>44</v>
      </c>
      <c r="L7" t="s">
        <v>45</v>
      </c>
      <c r="M7" t="s">
        <v>46</v>
      </c>
      <c r="P7" t="s">
        <v>44</v>
      </c>
      <c r="Q7" t="s">
        <v>45</v>
      </c>
      <c r="R7" t="s">
        <v>46</v>
      </c>
    </row>
    <row r="8" spans="1:18" x14ac:dyDescent="0.25">
      <c r="A8" s="5" t="s">
        <v>1</v>
      </c>
      <c r="B8" s="5" t="s">
        <v>2</v>
      </c>
      <c r="C8" s="5">
        <v>3503</v>
      </c>
      <c r="D8" s="5" t="s">
        <v>3</v>
      </c>
      <c r="K8">
        <v>20</v>
      </c>
      <c r="L8">
        <v>1</v>
      </c>
      <c r="M8" s="35">
        <v>0.122</v>
      </c>
      <c r="P8" s="35">
        <v>13.233000000000001</v>
      </c>
      <c r="Q8">
        <v>6</v>
      </c>
      <c r="R8">
        <v>10</v>
      </c>
    </row>
    <row r="9" spans="1:18" x14ac:dyDescent="0.25">
      <c r="A9" s="5" t="s">
        <v>4</v>
      </c>
      <c r="B9" s="5" t="s">
        <v>5</v>
      </c>
      <c r="C9" s="5">
        <v>31.26</v>
      </c>
      <c r="D9" s="5" t="s">
        <v>3</v>
      </c>
      <c r="K9">
        <v>20</v>
      </c>
      <c r="L9">
        <v>2</v>
      </c>
      <c r="M9" s="35">
        <v>0.48599999999999999</v>
      </c>
      <c r="P9" s="35">
        <v>9.3640000000000008</v>
      </c>
      <c r="Q9">
        <v>6</v>
      </c>
      <c r="R9">
        <v>20</v>
      </c>
    </row>
    <row r="10" spans="1:18" x14ac:dyDescent="0.25">
      <c r="A10" s="6" t="s">
        <v>6</v>
      </c>
      <c r="B10" s="7" t="s">
        <v>7</v>
      </c>
      <c r="C10" s="8">
        <f>[1]!refprop("D",C7,"TP","E",C9,C8)</f>
        <v>64.744216216690305</v>
      </c>
      <c r="D10" s="4" t="s">
        <v>8</v>
      </c>
      <c r="K10">
        <v>20</v>
      </c>
      <c r="L10">
        <v>3</v>
      </c>
      <c r="M10" s="35">
        <v>1.093</v>
      </c>
      <c r="P10" s="35">
        <v>7.6509999999999998</v>
      </c>
      <c r="Q10">
        <v>6</v>
      </c>
      <c r="R10">
        <v>30</v>
      </c>
    </row>
    <row r="11" spans="1:18" x14ac:dyDescent="0.25">
      <c r="A11" s="6" t="s">
        <v>9</v>
      </c>
      <c r="B11" s="9" t="s">
        <v>10</v>
      </c>
      <c r="C11" s="8">
        <f>[1]!refprop("CP",C7,"TP","E",C9,C8)/[1]!refprop("CV",C7,"TP","E",C9,C8)</f>
        <v>2.0561475463677783</v>
      </c>
      <c r="D11" s="4" t="s">
        <v>8</v>
      </c>
      <c r="K11">
        <v>20</v>
      </c>
      <c r="L11">
        <v>4</v>
      </c>
      <c r="M11" s="35">
        <v>1.9430000000000001</v>
      </c>
      <c r="P11" s="35">
        <v>6.6310000000000002</v>
      </c>
      <c r="Q11">
        <v>6</v>
      </c>
      <c r="R11">
        <v>40</v>
      </c>
    </row>
    <row r="12" spans="1:18" x14ac:dyDescent="0.25">
      <c r="A12" s="24" t="s">
        <v>11</v>
      </c>
      <c r="B12" s="28" t="s">
        <v>10</v>
      </c>
      <c r="C12" s="29">
        <v>1.8685628906643041</v>
      </c>
      <c r="D12" s="30" t="s">
        <v>36</v>
      </c>
      <c r="K12">
        <v>20</v>
      </c>
      <c r="L12">
        <v>5</v>
      </c>
      <c r="M12" s="35">
        <v>3.0369999999999999</v>
      </c>
      <c r="P12" s="35">
        <v>5.9349999999999996</v>
      </c>
      <c r="Q12">
        <v>6</v>
      </c>
      <c r="R12">
        <v>50</v>
      </c>
    </row>
    <row r="13" spans="1:18" x14ac:dyDescent="0.25">
      <c r="A13" s="24" t="s">
        <v>12</v>
      </c>
      <c r="B13" s="28" t="s">
        <v>13</v>
      </c>
      <c r="C13" s="29">
        <v>1523</v>
      </c>
      <c r="D13" s="30" t="s">
        <v>36</v>
      </c>
      <c r="K13">
        <v>20</v>
      </c>
      <c r="L13">
        <v>6</v>
      </c>
      <c r="M13" s="35">
        <v>4.3739999999999997</v>
      </c>
      <c r="P13" s="35">
        <v>5.4219999999999997</v>
      </c>
      <c r="Q13">
        <v>6</v>
      </c>
      <c r="R13">
        <v>60</v>
      </c>
    </row>
    <row r="14" spans="1:18" x14ac:dyDescent="0.25">
      <c r="A14" s="6" t="s">
        <v>14</v>
      </c>
      <c r="B14" s="16" t="s">
        <v>10</v>
      </c>
      <c r="C14" s="23">
        <f>C13/C8</f>
        <v>0.43477019697402225</v>
      </c>
      <c r="D14" s="15" t="s">
        <v>15</v>
      </c>
      <c r="K14">
        <v>20</v>
      </c>
      <c r="L14">
        <v>7</v>
      </c>
      <c r="M14" s="35">
        <v>5.9550000000000001</v>
      </c>
      <c r="P14" s="35">
        <v>5.0229999999999997</v>
      </c>
      <c r="Q14">
        <v>6</v>
      </c>
      <c r="R14">
        <v>70</v>
      </c>
    </row>
    <row r="15" spans="1:18" x14ac:dyDescent="0.25">
      <c r="A15" s="5" t="s">
        <v>16</v>
      </c>
      <c r="B15" s="5" t="s">
        <v>10</v>
      </c>
      <c r="C15" s="5">
        <v>0.68</v>
      </c>
      <c r="D15" s="5" t="s">
        <v>37</v>
      </c>
      <c r="K15">
        <v>20</v>
      </c>
      <c r="L15">
        <v>8</v>
      </c>
      <c r="M15" s="35">
        <v>7.78</v>
      </c>
      <c r="P15" s="35">
        <v>4.7</v>
      </c>
      <c r="Q15">
        <v>6</v>
      </c>
      <c r="R15">
        <v>80</v>
      </c>
    </row>
    <row r="16" spans="1:18" x14ac:dyDescent="0.25">
      <c r="A16" s="6" t="s">
        <v>17</v>
      </c>
      <c r="B16" s="9" t="s">
        <v>10</v>
      </c>
      <c r="C16" s="23">
        <f>1-C14/(3*(C11/1.4)*C15)</f>
        <v>0.85488798975891567</v>
      </c>
      <c r="D16" s="15" t="s">
        <v>15</v>
      </c>
      <c r="K16">
        <v>20</v>
      </c>
      <c r="L16">
        <v>9</v>
      </c>
      <c r="M16" s="35">
        <v>9.85</v>
      </c>
      <c r="P16" s="35">
        <v>4.4370000000000003</v>
      </c>
      <c r="Q16">
        <v>6</v>
      </c>
      <c r="R16">
        <v>90</v>
      </c>
    </row>
    <row r="17" spans="1:19" ht="16.5" customHeight="1" x14ac:dyDescent="0.25">
      <c r="A17" s="6" t="s">
        <v>18</v>
      </c>
      <c r="B17" s="7" t="s">
        <v>19</v>
      </c>
      <c r="C17" s="10">
        <f>(63.3/3600)*C12*C16*SQRT(C13*C10)</f>
        <v>8.82</v>
      </c>
      <c r="D17" s="15" t="s">
        <v>15</v>
      </c>
      <c r="K17">
        <v>20</v>
      </c>
      <c r="L17">
        <v>10</v>
      </c>
      <c r="M17" s="35">
        <v>12.163</v>
      </c>
      <c r="P17" s="35">
        <v>4.2119999999999997</v>
      </c>
      <c r="Q17">
        <v>6</v>
      </c>
      <c r="R17">
        <v>100</v>
      </c>
    </row>
    <row r="18" spans="1:19" ht="16.5" customHeight="1" x14ac:dyDescent="0.25">
      <c r="A18" s="6" t="s">
        <v>20</v>
      </c>
      <c r="B18" s="7" t="s">
        <v>21</v>
      </c>
      <c r="C18" s="6">
        <f>C17*60/C10</f>
        <v>8.1737030876833519</v>
      </c>
      <c r="D18" s="15" t="s">
        <v>15</v>
      </c>
      <c r="K18">
        <v>20</v>
      </c>
      <c r="L18">
        <v>11</v>
      </c>
      <c r="M18" s="35">
        <v>14.723000000000001</v>
      </c>
      <c r="P18" s="35">
        <v>4.0190000000000001</v>
      </c>
      <c r="Q18">
        <v>6</v>
      </c>
      <c r="R18">
        <v>110</v>
      </c>
    </row>
    <row r="19" spans="1:19" ht="16.5" customHeight="1" x14ac:dyDescent="0.25">
      <c r="A19" s="6" t="s">
        <v>22</v>
      </c>
      <c r="B19" s="7" t="s">
        <v>7</v>
      </c>
      <c r="C19" s="17">
        <f>[1]!refprop("D",C7,"TP","E",70,14.696)</f>
        <v>0.1143857351680638</v>
      </c>
      <c r="D19" s="15" t="s">
        <v>8</v>
      </c>
      <c r="K19">
        <v>20</v>
      </c>
      <c r="L19">
        <v>12</v>
      </c>
      <c r="M19" s="35">
        <v>17.529</v>
      </c>
      <c r="P19" s="35">
        <v>3.851</v>
      </c>
      <c r="Q19">
        <v>6</v>
      </c>
      <c r="R19">
        <v>120</v>
      </c>
    </row>
    <row r="20" spans="1:19" ht="16.5" customHeight="1" x14ac:dyDescent="0.25">
      <c r="A20" s="6" t="s">
        <v>23</v>
      </c>
      <c r="B20" s="7" t="s">
        <v>24</v>
      </c>
      <c r="C20" s="17">
        <f>C17*60/C19</f>
        <v>4626.4510100185225</v>
      </c>
      <c r="D20" s="15" t="s">
        <v>15</v>
      </c>
    </row>
    <row r="21" spans="1:19" ht="16.5" customHeight="1" x14ac:dyDescent="0.25">
      <c r="A21" s="6" t="s">
        <v>23</v>
      </c>
      <c r="B21" s="11" t="s">
        <v>25</v>
      </c>
      <c r="C21" s="17">
        <f>C20*60*24/1000000</f>
        <v>6.6620894544266722</v>
      </c>
      <c r="D21" s="15" t="s">
        <v>15</v>
      </c>
    </row>
    <row r="22" spans="1:19" ht="16.5" customHeight="1" x14ac:dyDescent="0.25">
      <c r="A22" s="24" t="s">
        <v>26</v>
      </c>
      <c r="B22" s="25" t="s">
        <v>19</v>
      </c>
      <c r="C22" s="26">
        <v>8.82</v>
      </c>
      <c r="D22" s="27" t="s">
        <v>36</v>
      </c>
      <c r="M22" s="36" t="s">
        <v>47</v>
      </c>
      <c r="N22" s="36"/>
    </row>
    <row r="23" spans="1:19" x14ac:dyDescent="0.25">
      <c r="A23" s="18" t="s">
        <v>27</v>
      </c>
      <c r="B23" s="22" t="s">
        <v>19</v>
      </c>
      <c r="C23" s="19">
        <f>C22-C17</f>
        <v>0</v>
      </c>
      <c r="D23" s="18" t="s">
        <v>28</v>
      </c>
    </row>
    <row r="24" spans="1:19" x14ac:dyDescent="0.25">
      <c r="A24" s="20"/>
      <c r="B24" s="21"/>
      <c r="C24" s="13"/>
      <c r="D24" s="20"/>
      <c r="K24" t="s">
        <v>44</v>
      </c>
      <c r="L24" t="s">
        <v>45</v>
      </c>
      <c r="M24" t="s">
        <v>46</v>
      </c>
      <c r="P24" t="s">
        <v>44</v>
      </c>
      <c r="Q24" t="s">
        <v>45</v>
      </c>
      <c r="R24" t="s">
        <v>46</v>
      </c>
      <c r="S24" t="s">
        <v>1</v>
      </c>
    </row>
    <row r="25" spans="1:19" x14ac:dyDescent="0.25">
      <c r="A25" s="4" t="s">
        <v>30</v>
      </c>
      <c r="B25" s="4" t="s">
        <v>33</v>
      </c>
      <c r="C25" s="4"/>
      <c r="D25" s="4" t="s">
        <v>3</v>
      </c>
      <c r="K25">
        <v>2</v>
      </c>
      <c r="L25">
        <v>1</v>
      </c>
      <c r="M25" s="35">
        <v>12.167999999999999</v>
      </c>
      <c r="P25">
        <v>2</v>
      </c>
      <c r="Q25">
        <v>6</v>
      </c>
      <c r="R25" s="35">
        <v>509.56</v>
      </c>
      <c r="S25">
        <v>3000</v>
      </c>
    </row>
    <row r="26" spans="1:19" x14ac:dyDescent="0.25">
      <c r="A26" s="4" t="s">
        <v>31</v>
      </c>
      <c r="B26" s="4" t="s">
        <v>34</v>
      </c>
      <c r="C26" s="4"/>
      <c r="D26" s="15" t="s">
        <v>15</v>
      </c>
      <c r="K26">
        <v>2</v>
      </c>
      <c r="L26">
        <v>2</v>
      </c>
      <c r="M26" s="35">
        <v>48.908000000000001</v>
      </c>
      <c r="P26">
        <v>2</v>
      </c>
      <c r="Q26">
        <v>6</v>
      </c>
      <c r="R26" s="35">
        <v>497.44400000000002</v>
      </c>
      <c r="S26">
        <v>3400</v>
      </c>
    </row>
    <row r="27" spans="1:19" x14ac:dyDescent="0.25">
      <c r="A27" s="4" t="s">
        <v>32</v>
      </c>
      <c r="B27" s="4" t="s">
        <v>35</v>
      </c>
      <c r="C27" s="4"/>
      <c r="D27" s="15" t="s">
        <v>15</v>
      </c>
      <c r="K27">
        <v>2</v>
      </c>
      <c r="L27">
        <v>3</v>
      </c>
      <c r="M27" s="35">
        <v>111.053</v>
      </c>
      <c r="P27">
        <v>2</v>
      </c>
      <c r="Q27">
        <v>6</v>
      </c>
      <c r="R27" s="35">
        <v>487.65</v>
      </c>
      <c r="S27">
        <v>3800</v>
      </c>
    </row>
    <row r="28" spans="1:19" x14ac:dyDescent="0.25">
      <c r="K28">
        <v>2</v>
      </c>
      <c r="L28">
        <v>4</v>
      </c>
      <c r="M28" s="35">
        <v>199.994</v>
      </c>
      <c r="P28">
        <v>2</v>
      </c>
      <c r="Q28">
        <v>6</v>
      </c>
      <c r="R28" s="35">
        <v>479.41500000000002</v>
      </c>
      <c r="S28">
        <v>4200</v>
      </c>
    </row>
    <row r="29" spans="1:19" x14ac:dyDescent="0.25">
      <c r="K29">
        <v>2</v>
      </c>
      <c r="L29">
        <v>5</v>
      </c>
      <c r="M29" s="35">
        <v>317.96199999999999</v>
      </c>
      <c r="P29">
        <v>2</v>
      </c>
      <c r="Q29">
        <v>6</v>
      </c>
      <c r="R29" s="35">
        <v>472.33600000000001</v>
      </c>
      <c r="S29">
        <v>4600</v>
      </c>
    </row>
    <row r="30" spans="1:19" x14ac:dyDescent="0.25">
      <c r="K30">
        <v>2</v>
      </c>
      <c r="L30">
        <v>6</v>
      </c>
      <c r="M30" s="35">
        <v>468.02600000000001</v>
      </c>
      <c r="P30">
        <v>2</v>
      </c>
      <c r="Q30">
        <v>6</v>
      </c>
      <c r="R30" s="35">
        <v>466.142</v>
      </c>
      <c r="S30">
        <v>5000</v>
      </c>
    </row>
    <row r="31" spans="1:19" x14ac:dyDescent="0.25">
      <c r="K31">
        <v>2</v>
      </c>
      <c r="L31">
        <v>7</v>
      </c>
      <c r="M31" s="35">
        <v>655.31500000000005</v>
      </c>
    </row>
    <row r="32" spans="1:19" x14ac:dyDescent="0.25">
      <c r="K32">
        <v>2</v>
      </c>
      <c r="L32">
        <v>8</v>
      </c>
      <c r="M32" s="35">
        <v>886.70600000000002</v>
      </c>
    </row>
    <row r="33" spans="11:13" x14ac:dyDescent="0.25">
      <c r="K33">
        <v>2</v>
      </c>
      <c r="L33">
        <v>9</v>
      </c>
      <c r="M33" s="35">
        <v>1173.4159999999999</v>
      </c>
    </row>
    <row r="34" spans="11:13" x14ac:dyDescent="0.25">
      <c r="K34">
        <v>2</v>
      </c>
      <c r="L34">
        <v>10</v>
      </c>
      <c r="M34" s="35">
        <v>1534.56</v>
      </c>
    </row>
    <row r="35" spans="11:13" x14ac:dyDescent="0.25">
      <c r="K35">
        <v>2</v>
      </c>
      <c r="L35">
        <v>11</v>
      </c>
      <c r="M35" s="35">
        <v>2007.499</v>
      </c>
    </row>
    <row r="36" spans="11:13" x14ac:dyDescent="0.25">
      <c r="K36">
        <v>2</v>
      </c>
      <c r="L36">
        <v>12</v>
      </c>
      <c r="M36" s="35">
        <v>2678.8310000000001</v>
      </c>
    </row>
  </sheetData>
  <mergeCells count="2">
    <mergeCell ref="A1:D1"/>
    <mergeCell ref="M22:N2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oalChangeC12">
                <anchor moveWithCells="1" sizeWithCells="1">
                  <from>
                    <xdr:col>4</xdr:col>
                    <xdr:colOff>323850</xdr:colOff>
                    <xdr:row>12</xdr:row>
                    <xdr:rowOff>114300</xdr:rowOff>
                  </from>
                  <to>
                    <xdr:col>8</xdr:col>
                    <xdr:colOff>133350</xdr:colOff>
                    <xdr:row>16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82B92-A49D-4E8F-A482-469BC7CBC22E}">
  <sheetPr codeName="Sheet2"/>
  <dimension ref="A1:S36"/>
  <sheetViews>
    <sheetView topLeftCell="A4" workbookViewId="0">
      <selection activeCell="C14" sqref="C14"/>
    </sheetView>
  </sheetViews>
  <sheetFormatPr defaultRowHeight="15" x14ac:dyDescent="0.25"/>
  <cols>
    <col min="1" max="1" width="22.28515625" customWidth="1"/>
    <col min="3" max="3" width="11.28515625" customWidth="1"/>
    <col min="4" max="4" width="29.28515625" bestFit="1" customWidth="1"/>
    <col min="12" max="12" width="10.42578125" customWidth="1"/>
    <col min="13" max="13" width="13.140625" customWidth="1"/>
    <col min="17" max="17" width="10.140625" bestFit="1" customWidth="1"/>
  </cols>
  <sheetData>
    <row r="1" spans="1:18" ht="21" x14ac:dyDescent="0.35">
      <c r="A1" s="34" t="s">
        <v>38</v>
      </c>
      <c r="B1" s="34"/>
      <c r="C1" s="34"/>
      <c r="D1" s="34"/>
      <c r="E1" s="1"/>
    </row>
    <row r="2" spans="1:18" x14ac:dyDescent="0.25">
      <c r="A2" s="31" t="s">
        <v>40</v>
      </c>
      <c r="B2" s="32"/>
    </row>
    <row r="3" spans="1:18" x14ac:dyDescent="0.25">
      <c r="A3" s="33" t="s">
        <v>41</v>
      </c>
      <c r="B3" s="32"/>
    </row>
    <row r="4" spans="1:18" x14ac:dyDescent="0.25">
      <c r="A4" s="33" t="s">
        <v>42</v>
      </c>
      <c r="B4" s="32"/>
    </row>
    <row r="6" spans="1:18" s="3" customFormat="1" ht="30" customHeight="1" x14ac:dyDescent="0.25">
      <c r="A6" s="14" t="s">
        <v>29</v>
      </c>
      <c r="B6" s="2"/>
      <c r="C6" s="12" t="s">
        <v>39</v>
      </c>
    </row>
    <row r="7" spans="1:18" x14ac:dyDescent="0.25">
      <c r="A7" s="5" t="s">
        <v>0</v>
      </c>
      <c r="B7" s="5"/>
      <c r="C7" s="5" t="s">
        <v>43</v>
      </c>
      <c r="D7" s="5" t="s">
        <v>3</v>
      </c>
      <c r="K7" t="s">
        <v>44</v>
      </c>
      <c r="L7" t="s">
        <v>45</v>
      </c>
      <c r="M7" t="s">
        <v>46</v>
      </c>
      <c r="P7" t="s">
        <v>44</v>
      </c>
      <c r="Q7" t="s">
        <v>45</v>
      </c>
      <c r="R7" t="s">
        <v>46</v>
      </c>
    </row>
    <row r="8" spans="1:18" x14ac:dyDescent="0.25">
      <c r="A8" s="5" t="s">
        <v>1</v>
      </c>
      <c r="B8" s="5" t="s">
        <v>2</v>
      </c>
      <c r="C8" s="5">
        <v>1980</v>
      </c>
      <c r="D8" s="5" t="s">
        <v>3</v>
      </c>
      <c r="K8">
        <v>20</v>
      </c>
      <c r="L8">
        <v>1</v>
      </c>
      <c r="M8" s="35">
        <v>0.122</v>
      </c>
      <c r="P8" s="35">
        <v>13.233000000000001</v>
      </c>
      <c r="Q8">
        <v>6</v>
      </c>
      <c r="R8">
        <v>10</v>
      </c>
    </row>
    <row r="9" spans="1:18" x14ac:dyDescent="0.25">
      <c r="A9" s="5" t="s">
        <v>4</v>
      </c>
      <c r="B9" s="5" t="s">
        <v>5</v>
      </c>
      <c r="C9" s="5">
        <v>30.59</v>
      </c>
      <c r="D9" s="5" t="s">
        <v>3</v>
      </c>
      <c r="K9">
        <v>20</v>
      </c>
      <c r="L9">
        <v>2</v>
      </c>
      <c r="M9" s="35">
        <v>0.48599999999999999</v>
      </c>
      <c r="P9" s="35">
        <v>9.3640000000000008</v>
      </c>
      <c r="Q9">
        <v>6</v>
      </c>
      <c r="R9">
        <v>20</v>
      </c>
    </row>
    <row r="10" spans="1:18" x14ac:dyDescent="0.25">
      <c r="A10" s="6" t="s">
        <v>6</v>
      </c>
      <c r="B10" s="7" t="s">
        <v>7</v>
      </c>
      <c r="C10" s="8">
        <f>[1]!refprop("D",C7,"TP","E",C9,C8)</f>
        <v>62.221772833782033</v>
      </c>
      <c r="D10" s="4" t="s">
        <v>8</v>
      </c>
      <c r="K10">
        <v>20</v>
      </c>
      <c r="L10">
        <v>3</v>
      </c>
      <c r="M10" s="35">
        <v>1.093</v>
      </c>
      <c r="P10" s="35">
        <v>7.6509999999999998</v>
      </c>
      <c r="Q10">
        <v>6</v>
      </c>
      <c r="R10">
        <v>30</v>
      </c>
    </row>
    <row r="11" spans="1:18" x14ac:dyDescent="0.25">
      <c r="A11" s="6" t="s">
        <v>9</v>
      </c>
      <c r="B11" s="9" t="s">
        <v>10</v>
      </c>
      <c r="C11" s="8">
        <f>[1]!refprop("CP",C7,"TP","E",C9,C8)/[1]!refprop("CV",C7,"TP","E",C9,C8)</f>
        <v>2.2353259328132715</v>
      </c>
      <c r="D11" s="4" t="s">
        <v>8</v>
      </c>
      <c r="K11">
        <v>20</v>
      </c>
      <c r="L11">
        <v>4</v>
      </c>
      <c r="M11" s="35">
        <v>1.9430000000000001</v>
      </c>
      <c r="P11" s="35">
        <v>6.6310000000000002</v>
      </c>
      <c r="Q11">
        <v>6</v>
      </c>
      <c r="R11">
        <v>40</v>
      </c>
    </row>
    <row r="12" spans="1:18" x14ac:dyDescent="0.25">
      <c r="A12" s="24" t="s">
        <v>11</v>
      </c>
      <c r="B12" s="28" t="s">
        <v>10</v>
      </c>
      <c r="C12" s="29">
        <v>2.1327543045646333</v>
      </c>
      <c r="D12" s="30" t="s">
        <v>36</v>
      </c>
      <c r="K12">
        <v>20</v>
      </c>
      <c r="L12">
        <v>5</v>
      </c>
      <c r="M12" s="35">
        <v>3.0369999999999999</v>
      </c>
      <c r="P12" s="35">
        <v>5.9349999999999996</v>
      </c>
      <c r="Q12">
        <v>6</v>
      </c>
      <c r="R12">
        <v>50</v>
      </c>
    </row>
    <row r="13" spans="1:18" x14ac:dyDescent="0.25">
      <c r="A13" s="24" t="s">
        <v>12</v>
      </c>
      <c r="B13" s="28" t="s">
        <v>13</v>
      </c>
      <c r="C13" s="29">
        <v>1523</v>
      </c>
      <c r="D13" s="30" t="s">
        <v>36</v>
      </c>
      <c r="K13">
        <v>20</v>
      </c>
      <c r="L13">
        <v>6</v>
      </c>
      <c r="M13" s="35">
        <v>4.3739999999999997</v>
      </c>
      <c r="P13" s="35">
        <v>5.4219999999999997</v>
      </c>
      <c r="Q13">
        <v>6</v>
      </c>
      <c r="R13">
        <v>60</v>
      </c>
    </row>
    <row r="14" spans="1:18" x14ac:dyDescent="0.25">
      <c r="A14" s="6" t="s">
        <v>14</v>
      </c>
      <c r="B14" s="16" t="s">
        <v>10</v>
      </c>
      <c r="C14" s="23">
        <f>C13/C8</f>
        <v>0.7691919191919192</v>
      </c>
      <c r="D14" s="15" t="s">
        <v>15</v>
      </c>
      <c r="K14">
        <v>20</v>
      </c>
      <c r="L14">
        <v>7</v>
      </c>
      <c r="M14" s="35">
        <v>5.9550000000000001</v>
      </c>
      <c r="P14" s="35">
        <v>5.0229999999999997</v>
      </c>
      <c r="Q14">
        <v>6</v>
      </c>
      <c r="R14">
        <v>70</v>
      </c>
    </row>
    <row r="15" spans="1:18" x14ac:dyDescent="0.25">
      <c r="A15" s="5" t="s">
        <v>16</v>
      </c>
      <c r="B15" s="5" t="s">
        <v>10</v>
      </c>
      <c r="C15" s="5">
        <v>0.68</v>
      </c>
      <c r="D15" s="5" t="s">
        <v>37</v>
      </c>
      <c r="K15">
        <v>20</v>
      </c>
      <c r="L15">
        <v>8</v>
      </c>
      <c r="M15" s="35">
        <v>7.78</v>
      </c>
      <c r="P15" s="35">
        <v>4.7</v>
      </c>
      <c r="Q15">
        <v>6</v>
      </c>
      <c r="R15">
        <v>80</v>
      </c>
    </row>
    <row r="16" spans="1:18" x14ac:dyDescent="0.25">
      <c r="A16" s="6" t="s">
        <v>17</v>
      </c>
      <c r="B16" s="9" t="s">
        <v>10</v>
      </c>
      <c r="C16" s="23">
        <f>1-C14/(3*(C11/1.4)*C15)</f>
        <v>0.76384794738894646</v>
      </c>
      <c r="D16" s="15" t="s">
        <v>15</v>
      </c>
      <c r="K16">
        <v>20</v>
      </c>
      <c r="L16">
        <v>9</v>
      </c>
      <c r="M16" s="35">
        <v>9.85</v>
      </c>
      <c r="P16" s="35">
        <v>4.4370000000000003</v>
      </c>
      <c r="Q16">
        <v>6</v>
      </c>
      <c r="R16">
        <v>90</v>
      </c>
    </row>
    <row r="17" spans="1:19" ht="16.5" customHeight="1" x14ac:dyDescent="0.25">
      <c r="A17" s="6" t="s">
        <v>18</v>
      </c>
      <c r="B17" s="7" t="s">
        <v>19</v>
      </c>
      <c r="C17" s="10">
        <f>(63.3/3600)*C12*C16*SQRT(C13*C10)</f>
        <v>8.8179999999999996</v>
      </c>
      <c r="D17" s="15" t="s">
        <v>15</v>
      </c>
      <c r="K17">
        <v>20</v>
      </c>
      <c r="L17">
        <v>10</v>
      </c>
      <c r="M17" s="35">
        <v>12.163</v>
      </c>
      <c r="P17" s="35">
        <v>4.2119999999999997</v>
      </c>
      <c r="Q17">
        <v>6</v>
      </c>
      <c r="R17">
        <v>100</v>
      </c>
    </row>
    <row r="18" spans="1:19" ht="16.5" customHeight="1" x14ac:dyDescent="0.25">
      <c r="A18" s="6" t="s">
        <v>20</v>
      </c>
      <c r="B18" s="7" t="s">
        <v>21</v>
      </c>
      <c r="C18" s="6">
        <f>C17*60/C10</f>
        <v>8.503132840868636</v>
      </c>
      <c r="D18" s="15" t="s">
        <v>15</v>
      </c>
      <c r="K18">
        <v>20</v>
      </c>
      <c r="L18">
        <v>11</v>
      </c>
      <c r="M18" s="35">
        <v>14.723000000000001</v>
      </c>
      <c r="P18" s="35">
        <v>4.0190000000000001</v>
      </c>
      <c r="Q18">
        <v>6</v>
      </c>
      <c r="R18">
        <v>110</v>
      </c>
    </row>
    <row r="19" spans="1:19" ht="16.5" customHeight="1" x14ac:dyDescent="0.25">
      <c r="A19" s="6" t="s">
        <v>22</v>
      </c>
      <c r="B19" s="7" t="s">
        <v>7</v>
      </c>
      <c r="C19" s="17">
        <f>[1]!refprop("D",C7,"TP","E",70,14.696)</f>
        <v>0.1143857351680638</v>
      </c>
      <c r="D19" s="15" t="s">
        <v>8</v>
      </c>
      <c r="K19">
        <v>20</v>
      </c>
      <c r="L19">
        <v>12</v>
      </c>
      <c r="M19" s="35">
        <v>17.529</v>
      </c>
      <c r="P19" s="35">
        <v>3.851</v>
      </c>
      <c r="Q19">
        <v>6</v>
      </c>
      <c r="R19">
        <v>120</v>
      </c>
    </row>
    <row r="20" spans="1:19" ht="16.5" customHeight="1" x14ac:dyDescent="0.25">
      <c r="A20" s="6" t="s">
        <v>23</v>
      </c>
      <c r="B20" s="7" t="s">
        <v>24</v>
      </c>
      <c r="C20" s="17">
        <f>C17*60/C19</f>
        <v>4625.4019281568399</v>
      </c>
      <c r="D20" s="15" t="s">
        <v>15</v>
      </c>
    </row>
    <row r="21" spans="1:19" ht="16.5" customHeight="1" x14ac:dyDescent="0.25">
      <c r="A21" s="6" t="s">
        <v>23</v>
      </c>
      <c r="B21" s="11" t="s">
        <v>25</v>
      </c>
      <c r="C21" s="17">
        <f>C20*60*24/1000000</f>
        <v>6.6605787765458491</v>
      </c>
      <c r="D21" s="15" t="s">
        <v>15</v>
      </c>
    </row>
    <row r="22" spans="1:19" ht="16.5" customHeight="1" x14ac:dyDescent="0.25">
      <c r="A22" s="24" t="s">
        <v>26</v>
      </c>
      <c r="B22" s="25" t="s">
        <v>19</v>
      </c>
      <c r="C22" s="26">
        <v>8.8179999999999996</v>
      </c>
      <c r="D22" s="27" t="s">
        <v>36</v>
      </c>
      <c r="M22" s="36" t="s">
        <v>47</v>
      </c>
      <c r="N22" s="36"/>
    </row>
    <row r="23" spans="1:19" x14ac:dyDescent="0.25">
      <c r="A23" s="18" t="s">
        <v>27</v>
      </c>
      <c r="B23" s="22" t="s">
        <v>19</v>
      </c>
      <c r="C23" s="19">
        <f>C22-C17</f>
        <v>0</v>
      </c>
      <c r="D23" s="18" t="s">
        <v>28</v>
      </c>
    </row>
    <row r="24" spans="1:19" x14ac:dyDescent="0.25">
      <c r="A24" s="20"/>
      <c r="B24" s="21"/>
      <c r="C24" s="13"/>
      <c r="D24" s="20"/>
      <c r="K24" t="s">
        <v>44</v>
      </c>
      <c r="L24" t="s">
        <v>45</v>
      </c>
      <c r="M24" t="s">
        <v>46</v>
      </c>
      <c r="P24" t="s">
        <v>44</v>
      </c>
      <c r="Q24" t="s">
        <v>45</v>
      </c>
      <c r="R24" t="s">
        <v>46</v>
      </c>
      <c r="S24" t="s">
        <v>1</v>
      </c>
    </row>
    <row r="25" spans="1:19" x14ac:dyDescent="0.25">
      <c r="A25" s="4" t="s">
        <v>30</v>
      </c>
      <c r="B25" s="4" t="s">
        <v>33</v>
      </c>
      <c r="C25" s="4"/>
      <c r="D25" s="4" t="s">
        <v>3</v>
      </c>
      <c r="K25">
        <v>2</v>
      </c>
      <c r="L25">
        <v>1</v>
      </c>
      <c r="M25" s="35">
        <v>12.167999999999999</v>
      </c>
      <c r="P25">
        <v>2</v>
      </c>
      <c r="Q25">
        <v>6</v>
      </c>
      <c r="R25" s="35">
        <v>509.56</v>
      </c>
      <c r="S25">
        <v>3000</v>
      </c>
    </row>
    <row r="26" spans="1:19" x14ac:dyDescent="0.25">
      <c r="A26" s="4" t="s">
        <v>31</v>
      </c>
      <c r="B26" s="4" t="s">
        <v>34</v>
      </c>
      <c r="C26" s="4"/>
      <c r="D26" s="15" t="s">
        <v>15</v>
      </c>
      <c r="K26">
        <v>2</v>
      </c>
      <c r="L26">
        <v>2</v>
      </c>
      <c r="M26" s="35">
        <v>48.908000000000001</v>
      </c>
      <c r="P26">
        <v>2</v>
      </c>
      <c r="Q26">
        <v>6</v>
      </c>
      <c r="R26" s="35">
        <v>497.44400000000002</v>
      </c>
      <c r="S26">
        <v>3400</v>
      </c>
    </row>
    <row r="27" spans="1:19" x14ac:dyDescent="0.25">
      <c r="A27" s="4" t="s">
        <v>32</v>
      </c>
      <c r="B27" s="4" t="s">
        <v>35</v>
      </c>
      <c r="C27" s="4"/>
      <c r="D27" s="15" t="s">
        <v>15</v>
      </c>
      <c r="K27">
        <v>2</v>
      </c>
      <c r="L27">
        <v>3</v>
      </c>
      <c r="M27" s="35">
        <v>111.053</v>
      </c>
      <c r="P27">
        <v>2</v>
      </c>
      <c r="Q27">
        <v>6</v>
      </c>
      <c r="R27" s="35">
        <v>487.65</v>
      </c>
      <c r="S27">
        <v>3800</v>
      </c>
    </row>
    <row r="28" spans="1:19" x14ac:dyDescent="0.25">
      <c r="K28">
        <v>2</v>
      </c>
      <c r="L28">
        <v>4</v>
      </c>
      <c r="M28" s="35">
        <v>199.994</v>
      </c>
      <c r="P28">
        <v>2</v>
      </c>
      <c r="Q28">
        <v>6</v>
      </c>
      <c r="R28" s="35">
        <v>479.41500000000002</v>
      </c>
      <c r="S28">
        <v>4200</v>
      </c>
    </row>
    <row r="29" spans="1:19" x14ac:dyDescent="0.25">
      <c r="K29">
        <v>2</v>
      </c>
      <c r="L29">
        <v>5</v>
      </c>
      <c r="M29" s="35">
        <v>317.96199999999999</v>
      </c>
      <c r="P29">
        <v>2</v>
      </c>
      <c r="Q29">
        <v>6</v>
      </c>
      <c r="R29" s="35">
        <v>472.33600000000001</v>
      </c>
      <c r="S29">
        <v>4600</v>
      </c>
    </row>
    <row r="30" spans="1:19" x14ac:dyDescent="0.25">
      <c r="K30">
        <v>2</v>
      </c>
      <c r="L30">
        <v>6</v>
      </c>
      <c r="M30" s="35">
        <v>468.02600000000001</v>
      </c>
      <c r="P30">
        <v>2</v>
      </c>
      <c r="Q30">
        <v>6</v>
      </c>
      <c r="R30" s="35">
        <v>466.142</v>
      </c>
      <c r="S30">
        <v>5000</v>
      </c>
    </row>
    <row r="31" spans="1:19" x14ac:dyDescent="0.25">
      <c r="K31">
        <v>2</v>
      </c>
      <c r="L31">
        <v>7</v>
      </c>
      <c r="M31" s="35">
        <v>655.31500000000005</v>
      </c>
    </row>
    <row r="32" spans="1:19" x14ac:dyDescent="0.25">
      <c r="K32">
        <v>2</v>
      </c>
      <c r="L32">
        <v>8</v>
      </c>
      <c r="M32" s="35">
        <v>886.70600000000002</v>
      </c>
    </row>
    <row r="33" spans="11:13" x14ac:dyDescent="0.25">
      <c r="K33">
        <v>2</v>
      </c>
      <c r="L33">
        <v>9</v>
      </c>
      <c r="M33" s="35">
        <v>1173.4159999999999</v>
      </c>
    </row>
    <row r="34" spans="11:13" x14ac:dyDescent="0.25">
      <c r="K34">
        <v>2</v>
      </c>
      <c r="L34">
        <v>10</v>
      </c>
      <c r="M34" s="35">
        <v>1534.56</v>
      </c>
    </row>
    <row r="35" spans="11:13" x14ac:dyDescent="0.25">
      <c r="K35">
        <v>2</v>
      </c>
      <c r="L35">
        <v>11</v>
      </c>
      <c r="M35" s="35">
        <v>2007.499</v>
      </c>
    </row>
    <row r="36" spans="11:13" x14ac:dyDescent="0.25">
      <c r="K36">
        <v>2</v>
      </c>
      <c r="L36">
        <v>12</v>
      </c>
      <c r="M36" s="35">
        <v>2678.8310000000001</v>
      </c>
    </row>
  </sheetData>
  <mergeCells count="2">
    <mergeCell ref="A1:D1"/>
    <mergeCell ref="M22:N2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oalChangeC12">
                <anchor moveWithCells="1" sizeWithCells="1">
                  <from>
                    <xdr:col>4</xdr:col>
                    <xdr:colOff>323850</xdr:colOff>
                    <xdr:row>12</xdr:row>
                    <xdr:rowOff>114300</xdr:rowOff>
                  </from>
                  <to>
                    <xdr:col>8</xdr:col>
                    <xdr:colOff>133350</xdr:colOff>
                    <xdr:row>16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Valve Sizing</vt:lpstr>
      <vt:lpstr>Valve Sizing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Natalie R. Smith</dc:creator>
  <cp:lastModifiedBy>Replogle, Cole J.</cp:lastModifiedBy>
  <cp:lastPrinted>2016-08-10T19:32:46Z</cp:lastPrinted>
  <dcterms:created xsi:type="dcterms:W3CDTF">2016-03-16T12:48:25Z</dcterms:created>
  <dcterms:modified xsi:type="dcterms:W3CDTF">2022-10-05T19:35:32Z</dcterms:modified>
</cp:coreProperties>
</file>